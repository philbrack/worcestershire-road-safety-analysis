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12610c1e8ff9f3/"/>
    </mc:Choice>
  </mc:AlternateContent>
  <xr:revisionPtr revIDLastSave="38" documentId="8_{4611E2FF-1E6A-4C08-BE52-EB2549162306}" xr6:coauthVersionLast="47" xr6:coauthVersionMax="47" xr10:uidLastSave="{D5C1607B-FE28-4FFC-B94F-7690DC0A64D3}"/>
  <bookViews>
    <workbookView xWindow="-110" yWindow="-110" windowWidth="19420" windowHeight="11500" xr2:uid="{3099F500-3ED9-4CBA-9DB8-ECA972F8AD30}"/>
  </bookViews>
  <sheets>
    <sheet name="Worcestershire 2025 Raw Data" sheetId="1" r:id="rId1"/>
    <sheet name="Lookups" sheetId="2" r:id="rId2"/>
  </sheets>
  <definedNames>
    <definedName name="_xlnm._FilterDatabase" localSheetId="0" hidden="1">'Worcestershire 2025 Raw Data'!$V$1:$V$657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645" i="1" l="1"/>
  <c r="X635" i="1"/>
  <c r="X623" i="1"/>
  <c r="X609" i="1"/>
  <c r="X600" i="1"/>
  <c r="X590" i="1"/>
  <c r="X565" i="1"/>
  <c r="X538" i="1"/>
  <c r="X527" i="1"/>
  <c r="X513" i="1"/>
  <c r="X503" i="1"/>
  <c r="X490" i="1"/>
  <c r="X466" i="1"/>
  <c r="X455" i="1"/>
  <c r="X445" i="1"/>
  <c r="X425" i="1"/>
  <c r="X410" i="1"/>
  <c r="X400" i="1"/>
  <c r="X390" i="1"/>
  <c r="X375" i="1"/>
  <c r="X365" i="1"/>
  <c r="X354" i="1"/>
  <c r="X342" i="1"/>
  <c r="X330" i="1"/>
  <c r="X319" i="1"/>
  <c r="X311" i="1"/>
  <c r="X280" i="1"/>
  <c r="X267" i="1"/>
  <c r="X265" i="1"/>
  <c r="X248" i="1"/>
  <c r="X241" i="1"/>
  <c r="X230" i="1"/>
  <c r="X227" i="1"/>
  <c r="X222" i="1"/>
  <c r="X218" i="1"/>
  <c r="X217" i="1"/>
  <c r="X209" i="1"/>
  <c r="X203" i="1"/>
  <c r="X194" i="1"/>
  <c r="X189" i="1"/>
  <c r="X182" i="1"/>
  <c r="X179" i="1"/>
  <c r="X176" i="1"/>
  <c r="X168" i="1"/>
  <c r="X163" i="1"/>
  <c r="X162" i="1"/>
  <c r="X154" i="1"/>
  <c r="X152" i="1"/>
  <c r="X143" i="1"/>
  <c r="X141" i="1"/>
  <c r="X135" i="1"/>
  <c r="X128" i="1"/>
  <c r="X122" i="1"/>
  <c r="X120" i="1"/>
  <c r="X117" i="1"/>
  <c r="X111" i="1"/>
  <c r="X109" i="1"/>
  <c r="X107" i="1"/>
  <c r="X101" i="1"/>
  <c r="X98" i="1"/>
  <c r="X96" i="1"/>
  <c r="X87" i="1"/>
  <c r="X80" i="1"/>
  <c r="X69" i="1"/>
  <c r="X67" i="1"/>
  <c r="X66" i="1"/>
  <c r="X59" i="1"/>
  <c r="X57" i="1"/>
  <c r="X56" i="1"/>
  <c r="X48" i="1"/>
  <c r="X45" i="1"/>
  <c r="X38" i="1"/>
  <c r="X35" i="1"/>
  <c r="X34" i="1"/>
  <c r="X25" i="1"/>
  <c r="X24" i="1"/>
  <c r="X13" i="1"/>
  <c r="X9" i="1"/>
  <c r="X8" i="1"/>
  <c r="V3" i="1"/>
  <c r="X3" i="1" s="1"/>
  <c r="V4" i="1"/>
  <c r="X4" i="1" s="1"/>
  <c r="V5" i="1"/>
  <c r="V6" i="1"/>
  <c r="V7" i="1"/>
  <c r="V8" i="1"/>
  <c r="V9" i="1"/>
  <c r="V10" i="1"/>
  <c r="V11" i="1"/>
  <c r="X11" i="1" s="1"/>
  <c r="V12" i="1"/>
  <c r="V13" i="1"/>
  <c r="V14" i="1"/>
  <c r="X14" i="1" s="1"/>
  <c r="V15" i="1"/>
  <c r="X15" i="1" s="1"/>
  <c r="V16" i="1"/>
  <c r="V17" i="1"/>
  <c r="X17" i="1" s="1"/>
  <c r="V18" i="1"/>
  <c r="V19" i="1"/>
  <c r="X19" i="1" s="1"/>
  <c r="V20" i="1"/>
  <c r="V21" i="1"/>
  <c r="V22" i="1"/>
  <c r="V23" i="1"/>
  <c r="V24" i="1"/>
  <c r="V25" i="1"/>
  <c r="V26" i="1"/>
  <c r="V27" i="1"/>
  <c r="X27" i="1" s="1"/>
  <c r="V28" i="1"/>
  <c r="X28" i="1" s="1"/>
  <c r="V29" i="1"/>
  <c r="V30" i="1"/>
  <c r="X30" i="1" s="1"/>
  <c r="V31" i="1"/>
  <c r="X31" i="1" s="1"/>
  <c r="V32" i="1"/>
  <c r="X32" i="1" s="1"/>
  <c r="V33" i="1"/>
  <c r="X33" i="1" s="1"/>
  <c r="V34" i="1"/>
  <c r="V35" i="1"/>
  <c r="V36" i="1"/>
  <c r="X36" i="1" s="1"/>
  <c r="V37" i="1"/>
  <c r="V38" i="1"/>
  <c r="V39" i="1"/>
  <c r="X39" i="1" s="1"/>
  <c r="V40" i="1"/>
  <c r="X40" i="1" s="1"/>
  <c r="V41" i="1"/>
  <c r="X41" i="1" s="1"/>
  <c r="V42" i="1"/>
  <c r="X42" i="1" s="1"/>
  <c r="V43" i="1"/>
  <c r="V44" i="1"/>
  <c r="V45" i="1"/>
  <c r="V46" i="1"/>
  <c r="X46" i="1" s="1"/>
  <c r="V47" i="1"/>
  <c r="X47" i="1" s="1"/>
  <c r="V48" i="1"/>
  <c r="V49" i="1"/>
  <c r="X49" i="1" s="1"/>
  <c r="V50" i="1"/>
  <c r="V51" i="1"/>
  <c r="X51" i="1" s="1"/>
  <c r="V52" i="1"/>
  <c r="V53" i="1"/>
  <c r="X53" i="1" s="1"/>
  <c r="V54" i="1"/>
  <c r="X54" i="1" s="1"/>
  <c r="V55" i="1"/>
  <c r="V56" i="1"/>
  <c r="V57" i="1"/>
  <c r="V58" i="1"/>
  <c r="X58" i="1" s="1"/>
  <c r="V59" i="1"/>
  <c r="V60" i="1"/>
  <c r="V61" i="1"/>
  <c r="V62" i="1"/>
  <c r="X62" i="1" s="1"/>
  <c r="V63" i="1"/>
  <c r="X63" i="1" s="1"/>
  <c r="V64" i="1"/>
  <c r="X64" i="1" s="1"/>
  <c r="V65" i="1"/>
  <c r="X65" i="1" s="1"/>
  <c r="V66" i="1"/>
  <c r="V67" i="1"/>
  <c r="V68" i="1"/>
  <c r="X68" i="1" s="1"/>
  <c r="V69" i="1"/>
  <c r="V70" i="1"/>
  <c r="V71" i="1"/>
  <c r="X71" i="1" s="1"/>
  <c r="V72" i="1"/>
  <c r="X72" i="1" s="1"/>
  <c r="V73" i="1"/>
  <c r="V74" i="1"/>
  <c r="V75" i="1"/>
  <c r="V76" i="1"/>
  <c r="X76" i="1" s="1"/>
  <c r="V77" i="1"/>
  <c r="V78" i="1"/>
  <c r="X78" i="1" s="1"/>
  <c r="V79" i="1"/>
  <c r="V80" i="1"/>
  <c r="V81" i="1"/>
  <c r="V82" i="1"/>
  <c r="V83" i="1"/>
  <c r="V84" i="1"/>
  <c r="X84" i="1" s="1"/>
  <c r="V85" i="1"/>
  <c r="V86" i="1"/>
  <c r="X86" i="1" s="1"/>
  <c r="V87" i="1"/>
  <c r="V88" i="1"/>
  <c r="V89" i="1"/>
  <c r="X89" i="1" s="1"/>
  <c r="V90" i="1"/>
  <c r="V91" i="1"/>
  <c r="X91" i="1" s="1"/>
  <c r="V92" i="1"/>
  <c r="V93" i="1"/>
  <c r="X93" i="1" s="1"/>
  <c r="V94" i="1"/>
  <c r="V95" i="1"/>
  <c r="X95" i="1" s="1"/>
  <c r="V96" i="1"/>
  <c r="V97" i="1"/>
  <c r="V98" i="1"/>
  <c r="V99" i="1"/>
  <c r="X99" i="1" s="1"/>
  <c r="V100" i="1"/>
  <c r="V101" i="1"/>
  <c r="V102" i="1"/>
  <c r="V103" i="1"/>
  <c r="X103" i="1" s="1"/>
  <c r="V104" i="1"/>
  <c r="X104" i="1" s="1"/>
  <c r="V105" i="1"/>
  <c r="X105" i="1" s="1"/>
  <c r="V106" i="1"/>
  <c r="X106" i="1" s="1"/>
  <c r="V107" i="1"/>
  <c r="V108" i="1"/>
  <c r="V109" i="1"/>
  <c r="V110" i="1"/>
  <c r="X110" i="1" s="1"/>
  <c r="V111" i="1"/>
  <c r="V112" i="1"/>
  <c r="X112" i="1" s="1"/>
  <c r="V113" i="1"/>
  <c r="X113" i="1" s="1"/>
  <c r="V114" i="1"/>
  <c r="X114" i="1" s="1"/>
  <c r="V115" i="1"/>
  <c r="X115" i="1" s="1"/>
  <c r="V116" i="1"/>
  <c r="V117" i="1"/>
  <c r="V118" i="1"/>
  <c r="V119" i="1"/>
  <c r="V120" i="1"/>
  <c r="V121" i="1"/>
  <c r="X121" i="1" s="1"/>
  <c r="V122" i="1"/>
  <c r="V123" i="1"/>
  <c r="X123" i="1" s="1"/>
  <c r="V124" i="1"/>
  <c r="X124" i="1" s="1"/>
  <c r="V125" i="1"/>
  <c r="X125" i="1" s="1"/>
  <c r="V126" i="1"/>
  <c r="X126" i="1" s="1"/>
  <c r="V127" i="1"/>
  <c r="X127" i="1" s="1"/>
  <c r="V128" i="1"/>
  <c r="V129" i="1"/>
  <c r="V130" i="1"/>
  <c r="V131" i="1"/>
  <c r="X131" i="1" s="1"/>
  <c r="V132" i="1"/>
  <c r="V133" i="1"/>
  <c r="V134" i="1"/>
  <c r="V135" i="1"/>
  <c r="V136" i="1"/>
  <c r="X136" i="1" s="1"/>
  <c r="V137" i="1"/>
  <c r="X137" i="1" s="1"/>
  <c r="V138" i="1"/>
  <c r="X138" i="1" s="1"/>
  <c r="V139" i="1"/>
  <c r="X139" i="1" s="1"/>
  <c r="V140" i="1"/>
  <c r="X140" i="1" s="1"/>
  <c r="V141" i="1"/>
  <c r="V142" i="1"/>
  <c r="X142" i="1" s="1"/>
  <c r="V143" i="1"/>
  <c r="V144" i="1"/>
  <c r="V145" i="1"/>
  <c r="X145" i="1" s="1"/>
  <c r="V146" i="1"/>
  <c r="V147" i="1"/>
  <c r="X147" i="1" s="1"/>
  <c r="V148" i="1"/>
  <c r="X148" i="1" s="1"/>
  <c r="V149" i="1"/>
  <c r="X149" i="1" s="1"/>
  <c r="V150" i="1"/>
  <c r="X150" i="1" s="1"/>
  <c r="V151" i="1"/>
  <c r="V152" i="1"/>
  <c r="V153" i="1"/>
  <c r="X153" i="1" s="1"/>
  <c r="V154" i="1"/>
  <c r="V155" i="1"/>
  <c r="X155" i="1" s="1"/>
  <c r="V156" i="1"/>
  <c r="V157" i="1"/>
  <c r="V158" i="1"/>
  <c r="X158" i="1" s="1"/>
  <c r="V159" i="1"/>
  <c r="X159" i="1" s="1"/>
  <c r="V160" i="1"/>
  <c r="X160" i="1" s="1"/>
  <c r="V161" i="1"/>
  <c r="V162" i="1"/>
  <c r="V163" i="1"/>
  <c r="V164" i="1"/>
  <c r="X164" i="1" s="1"/>
  <c r="V165" i="1"/>
  <c r="V166" i="1"/>
  <c r="V167" i="1"/>
  <c r="V168" i="1"/>
  <c r="V169" i="1"/>
  <c r="V170" i="1"/>
  <c r="X170" i="1" s="1"/>
  <c r="V171" i="1"/>
  <c r="X171" i="1" s="1"/>
  <c r="V172" i="1"/>
  <c r="V173" i="1"/>
  <c r="V174" i="1"/>
  <c r="X174" i="1" s="1"/>
  <c r="V175" i="1"/>
  <c r="X175" i="1" s="1"/>
  <c r="V176" i="1"/>
  <c r="V177" i="1"/>
  <c r="V178" i="1"/>
  <c r="V179" i="1"/>
  <c r="V180" i="1"/>
  <c r="V181" i="1"/>
  <c r="X181" i="1" s="1"/>
  <c r="V182" i="1"/>
  <c r="V183" i="1"/>
  <c r="X183" i="1" s="1"/>
  <c r="V184" i="1"/>
  <c r="V185" i="1"/>
  <c r="X185" i="1" s="1"/>
  <c r="V186" i="1"/>
  <c r="X186" i="1" s="1"/>
  <c r="V187" i="1"/>
  <c r="V188" i="1"/>
  <c r="X188" i="1" s="1"/>
  <c r="V189" i="1"/>
  <c r="V190" i="1"/>
  <c r="X190" i="1" s="1"/>
  <c r="V191" i="1"/>
  <c r="V192" i="1"/>
  <c r="X192" i="1" s="1"/>
  <c r="V193" i="1"/>
  <c r="V194" i="1"/>
  <c r="V195" i="1"/>
  <c r="V196" i="1"/>
  <c r="V197" i="1"/>
  <c r="X197" i="1" s="1"/>
  <c r="V198" i="1"/>
  <c r="V199" i="1"/>
  <c r="X199" i="1" s="1"/>
  <c r="V200" i="1"/>
  <c r="X200" i="1" s="1"/>
  <c r="V201" i="1"/>
  <c r="X201" i="1" s="1"/>
  <c r="V202" i="1"/>
  <c r="V203" i="1"/>
  <c r="V204" i="1"/>
  <c r="X204" i="1" s="1"/>
  <c r="V205" i="1"/>
  <c r="V206" i="1"/>
  <c r="X206" i="1" s="1"/>
  <c r="V207" i="1"/>
  <c r="V208" i="1"/>
  <c r="V209" i="1"/>
  <c r="V210" i="1"/>
  <c r="X210" i="1" s="1"/>
  <c r="V211" i="1"/>
  <c r="X211" i="1" s="1"/>
  <c r="V212" i="1"/>
  <c r="V213" i="1"/>
  <c r="X213" i="1" s="1"/>
  <c r="V214" i="1"/>
  <c r="V215" i="1"/>
  <c r="V216" i="1"/>
  <c r="X216" i="1" s="1"/>
  <c r="V217" i="1"/>
  <c r="V218" i="1"/>
  <c r="V219" i="1"/>
  <c r="X219" i="1" s="1"/>
  <c r="V220" i="1"/>
  <c r="V221" i="1"/>
  <c r="V222" i="1"/>
  <c r="V223" i="1"/>
  <c r="X223" i="1" s="1"/>
  <c r="V224" i="1"/>
  <c r="X224" i="1" s="1"/>
  <c r="V225" i="1"/>
  <c r="X225" i="1" s="1"/>
  <c r="V226" i="1"/>
  <c r="X226" i="1" s="1"/>
  <c r="V227" i="1"/>
  <c r="V228" i="1"/>
  <c r="X228" i="1" s="1"/>
  <c r="V229" i="1"/>
  <c r="X229" i="1" s="1"/>
  <c r="V230" i="1"/>
  <c r="V231" i="1"/>
  <c r="X231" i="1" s="1"/>
  <c r="V232" i="1"/>
  <c r="V233" i="1"/>
  <c r="X233" i="1" s="1"/>
  <c r="V234" i="1"/>
  <c r="X234" i="1" s="1"/>
  <c r="V235" i="1"/>
  <c r="X235" i="1" s="1"/>
  <c r="V236" i="1"/>
  <c r="X236" i="1" s="1"/>
  <c r="V237" i="1"/>
  <c r="V238" i="1"/>
  <c r="X238" i="1" s="1"/>
  <c r="V239" i="1"/>
  <c r="X239" i="1" s="1"/>
  <c r="V240" i="1"/>
  <c r="V241" i="1"/>
  <c r="V242" i="1"/>
  <c r="X242" i="1" s="1"/>
  <c r="V243" i="1"/>
  <c r="X243" i="1" s="1"/>
  <c r="V244" i="1"/>
  <c r="X244" i="1" s="1"/>
  <c r="V245" i="1"/>
  <c r="V246" i="1"/>
  <c r="X246" i="1" s="1"/>
  <c r="V247" i="1"/>
  <c r="X247" i="1" s="1"/>
  <c r="V248" i="1"/>
  <c r="V249" i="1"/>
  <c r="V250" i="1"/>
  <c r="V251" i="1"/>
  <c r="X251" i="1" s="1"/>
  <c r="V252" i="1"/>
  <c r="X252" i="1" s="1"/>
  <c r="V253" i="1"/>
  <c r="X253" i="1" s="1"/>
  <c r="V254" i="1"/>
  <c r="X254" i="1" s="1"/>
  <c r="V255" i="1"/>
  <c r="V256" i="1"/>
  <c r="X256" i="1" s="1"/>
  <c r="V257" i="1"/>
  <c r="V258" i="1"/>
  <c r="X258" i="1" s="1"/>
  <c r="V259" i="1"/>
  <c r="V260" i="1"/>
  <c r="V261" i="1"/>
  <c r="V262" i="1"/>
  <c r="V263" i="1"/>
  <c r="X263" i="1" s="1"/>
  <c r="V264" i="1"/>
  <c r="V265" i="1"/>
  <c r="V266" i="1"/>
  <c r="X266" i="1" s="1"/>
  <c r="V267" i="1"/>
  <c r="V268" i="1"/>
  <c r="X268" i="1" s="1"/>
  <c r="V269" i="1"/>
  <c r="V270" i="1"/>
  <c r="V271" i="1"/>
  <c r="X271" i="1" s="1"/>
  <c r="V272" i="1"/>
  <c r="V273" i="1"/>
  <c r="V274" i="1"/>
  <c r="V275" i="1"/>
  <c r="X275" i="1" s="1"/>
  <c r="V276" i="1"/>
  <c r="X276" i="1" s="1"/>
  <c r="V277" i="1"/>
  <c r="X277" i="1" s="1"/>
  <c r="V278" i="1"/>
  <c r="X278" i="1" s="1"/>
  <c r="V279" i="1"/>
  <c r="X279" i="1" s="1"/>
  <c r="V280" i="1"/>
  <c r="V281" i="1"/>
  <c r="X281" i="1" s="1"/>
  <c r="V282" i="1"/>
  <c r="X282" i="1" s="1"/>
  <c r="V283" i="1"/>
  <c r="X283" i="1" s="1"/>
  <c r="V284" i="1"/>
  <c r="X284" i="1" s="1"/>
  <c r="V285" i="1"/>
  <c r="V286" i="1"/>
  <c r="V287" i="1"/>
  <c r="V288" i="1"/>
  <c r="X288" i="1" s="1"/>
  <c r="V289" i="1"/>
  <c r="V290" i="1"/>
  <c r="V291" i="1"/>
  <c r="V292" i="1"/>
  <c r="V293" i="1"/>
  <c r="X293" i="1" s="1"/>
  <c r="V294" i="1"/>
  <c r="V295" i="1"/>
  <c r="V296" i="1"/>
  <c r="V297" i="1"/>
  <c r="V298" i="1"/>
  <c r="X298" i="1" s="1"/>
  <c r="V299" i="1"/>
  <c r="V300" i="1"/>
  <c r="X300" i="1" s="1"/>
  <c r="V301" i="1"/>
  <c r="V302" i="1"/>
  <c r="V303" i="1"/>
  <c r="X303" i="1" s="1"/>
  <c r="V304" i="1"/>
  <c r="X304" i="1" s="1"/>
  <c r="V305" i="1"/>
  <c r="X305" i="1" s="1"/>
  <c r="V306" i="1"/>
  <c r="X306" i="1" s="1"/>
  <c r="V307" i="1"/>
  <c r="V308" i="1"/>
  <c r="X308" i="1" s="1"/>
  <c r="V309" i="1"/>
  <c r="X309" i="1" s="1"/>
  <c r="V310" i="1"/>
  <c r="X310" i="1" s="1"/>
  <c r="V311" i="1"/>
  <c r="V312" i="1"/>
  <c r="X312" i="1" s="1"/>
  <c r="V313" i="1"/>
  <c r="X313" i="1" s="1"/>
  <c r="V314" i="1"/>
  <c r="X314" i="1" s="1"/>
  <c r="V315" i="1"/>
  <c r="X315" i="1" s="1"/>
  <c r="V316" i="1"/>
  <c r="X316" i="1" s="1"/>
  <c r="V317" i="1"/>
  <c r="X317" i="1" s="1"/>
  <c r="V318" i="1"/>
  <c r="X318" i="1" s="1"/>
  <c r="V319" i="1"/>
  <c r="V320" i="1"/>
  <c r="V321" i="1"/>
  <c r="X321" i="1" s="1"/>
  <c r="V322" i="1"/>
  <c r="X322" i="1" s="1"/>
  <c r="V323" i="1"/>
  <c r="X323" i="1" s="1"/>
  <c r="V324" i="1"/>
  <c r="X324" i="1" s="1"/>
  <c r="V325" i="1"/>
  <c r="X325" i="1" s="1"/>
  <c r="V326" i="1"/>
  <c r="V327" i="1"/>
  <c r="V328" i="1"/>
  <c r="X328" i="1" s="1"/>
  <c r="V329" i="1"/>
  <c r="X329" i="1" s="1"/>
  <c r="V330" i="1"/>
  <c r="V331" i="1"/>
  <c r="X331" i="1" s="1"/>
  <c r="V332" i="1"/>
  <c r="V333" i="1"/>
  <c r="X333" i="1" s="1"/>
  <c r="V334" i="1"/>
  <c r="X334" i="1" s="1"/>
  <c r="V335" i="1"/>
  <c r="V336" i="1"/>
  <c r="X336" i="1" s="1"/>
  <c r="V337" i="1"/>
  <c r="X337" i="1" s="1"/>
  <c r="V338" i="1"/>
  <c r="X338" i="1" s="1"/>
  <c r="V339" i="1"/>
  <c r="X339" i="1" s="1"/>
  <c r="V340" i="1"/>
  <c r="V341" i="1"/>
  <c r="V342" i="1"/>
  <c r="V343" i="1"/>
  <c r="X343" i="1" s="1"/>
  <c r="V344" i="1"/>
  <c r="X344" i="1" s="1"/>
  <c r="V345" i="1"/>
  <c r="X345" i="1" s="1"/>
  <c r="V346" i="1"/>
  <c r="X346" i="1" s="1"/>
  <c r="V347" i="1"/>
  <c r="V348" i="1"/>
  <c r="X348" i="1" s="1"/>
  <c r="V349" i="1"/>
  <c r="V350" i="1"/>
  <c r="X350" i="1" s="1"/>
  <c r="V351" i="1"/>
  <c r="V352" i="1"/>
  <c r="X352" i="1" s="1"/>
  <c r="V353" i="1"/>
  <c r="V354" i="1"/>
  <c r="V355" i="1"/>
  <c r="X355" i="1" s="1"/>
  <c r="V356" i="1"/>
  <c r="X356" i="1" s="1"/>
  <c r="V357" i="1"/>
  <c r="X357" i="1" s="1"/>
  <c r="V358" i="1"/>
  <c r="V359" i="1"/>
  <c r="X359" i="1" s="1"/>
  <c r="V360" i="1"/>
  <c r="X360" i="1" s="1"/>
  <c r="V361" i="1"/>
  <c r="X361" i="1" s="1"/>
  <c r="V362" i="1"/>
  <c r="V363" i="1"/>
  <c r="X363" i="1" s="1"/>
  <c r="V364" i="1"/>
  <c r="V365" i="1"/>
  <c r="V366" i="1"/>
  <c r="V367" i="1"/>
  <c r="X367" i="1" s="1"/>
  <c r="V368" i="1"/>
  <c r="X368" i="1" s="1"/>
  <c r="V369" i="1"/>
  <c r="X369" i="1" s="1"/>
  <c r="V370" i="1"/>
  <c r="X370" i="1" s="1"/>
  <c r="V371" i="1"/>
  <c r="X371" i="1" s="1"/>
  <c r="V372" i="1"/>
  <c r="X372" i="1" s="1"/>
  <c r="V373" i="1"/>
  <c r="X373" i="1" s="1"/>
  <c r="V374" i="1"/>
  <c r="V375" i="1"/>
  <c r="V376" i="1"/>
  <c r="X376" i="1" s="1"/>
  <c r="V377" i="1"/>
  <c r="V378" i="1"/>
  <c r="V379" i="1"/>
  <c r="V380" i="1"/>
  <c r="X380" i="1" s="1"/>
  <c r="V381" i="1"/>
  <c r="X381" i="1" s="1"/>
  <c r="V382" i="1"/>
  <c r="X382" i="1" s="1"/>
  <c r="V383" i="1"/>
  <c r="X383" i="1" s="1"/>
  <c r="V384" i="1"/>
  <c r="V385" i="1"/>
  <c r="X385" i="1" s="1"/>
  <c r="V386" i="1"/>
  <c r="V387" i="1"/>
  <c r="V388" i="1"/>
  <c r="V389" i="1"/>
  <c r="X389" i="1" s="1"/>
  <c r="V390" i="1"/>
  <c r="V391" i="1"/>
  <c r="X391" i="1" s="1"/>
  <c r="V392" i="1"/>
  <c r="X392" i="1" s="1"/>
  <c r="V393" i="1"/>
  <c r="X393" i="1" s="1"/>
  <c r="V394" i="1"/>
  <c r="V395" i="1"/>
  <c r="X395" i="1" s="1"/>
  <c r="V396" i="1"/>
  <c r="V397" i="1"/>
  <c r="X397" i="1" s="1"/>
  <c r="V398" i="1"/>
  <c r="X398" i="1" s="1"/>
  <c r="V399" i="1"/>
  <c r="X399" i="1" s="1"/>
  <c r="V400" i="1"/>
  <c r="V401" i="1"/>
  <c r="X401" i="1" s="1"/>
  <c r="V402" i="1"/>
  <c r="X402" i="1" s="1"/>
  <c r="V403" i="1"/>
  <c r="V404" i="1"/>
  <c r="X404" i="1" s="1"/>
  <c r="V405" i="1"/>
  <c r="X405" i="1" s="1"/>
  <c r="V406" i="1"/>
  <c r="X406" i="1" s="1"/>
  <c r="V407" i="1"/>
  <c r="X407" i="1" s="1"/>
  <c r="V408" i="1"/>
  <c r="V409" i="1"/>
  <c r="X409" i="1" s="1"/>
  <c r="V410" i="1"/>
  <c r="V411" i="1"/>
  <c r="X411" i="1" s="1"/>
  <c r="V412" i="1"/>
  <c r="X412" i="1" s="1"/>
  <c r="V413" i="1"/>
  <c r="X413" i="1" s="1"/>
  <c r="V414" i="1"/>
  <c r="V415" i="1"/>
  <c r="X415" i="1" s="1"/>
  <c r="V416" i="1"/>
  <c r="V417" i="1"/>
  <c r="X417" i="1" s="1"/>
  <c r="V418" i="1"/>
  <c r="V419" i="1"/>
  <c r="V420" i="1"/>
  <c r="V421" i="1"/>
  <c r="V422" i="1"/>
  <c r="V423" i="1"/>
  <c r="X423" i="1" s="1"/>
  <c r="V424" i="1"/>
  <c r="X424" i="1" s="1"/>
  <c r="V425" i="1"/>
  <c r="V426" i="1"/>
  <c r="V427" i="1"/>
  <c r="V428" i="1"/>
  <c r="X428" i="1" s="1"/>
  <c r="V429" i="1"/>
  <c r="X429" i="1" s="1"/>
  <c r="V430" i="1"/>
  <c r="X430" i="1" s="1"/>
  <c r="V431" i="1"/>
  <c r="X431" i="1" s="1"/>
  <c r="V432" i="1"/>
  <c r="V433" i="1"/>
  <c r="X433" i="1" s="1"/>
  <c r="V434" i="1"/>
  <c r="X434" i="1" s="1"/>
  <c r="V435" i="1"/>
  <c r="X435" i="1" s="1"/>
  <c r="V436" i="1"/>
  <c r="X436" i="1" s="1"/>
  <c r="V437" i="1"/>
  <c r="X437" i="1" s="1"/>
  <c r="V438" i="1"/>
  <c r="X438" i="1" s="1"/>
  <c r="V439" i="1"/>
  <c r="X439" i="1" s="1"/>
  <c r="V440" i="1"/>
  <c r="X440" i="1" s="1"/>
  <c r="V441" i="1"/>
  <c r="X441" i="1" s="1"/>
  <c r="V442" i="1"/>
  <c r="V443" i="1"/>
  <c r="X443" i="1" s="1"/>
  <c r="V444" i="1"/>
  <c r="X444" i="1" s="1"/>
  <c r="V445" i="1"/>
  <c r="V446" i="1"/>
  <c r="X446" i="1" s="1"/>
  <c r="V447" i="1"/>
  <c r="X447" i="1" s="1"/>
  <c r="V448" i="1"/>
  <c r="X448" i="1" s="1"/>
  <c r="V449" i="1"/>
  <c r="X449" i="1" s="1"/>
  <c r="V450" i="1"/>
  <c r="X450" i="1" s="1"/>
  <c r="V451" i="1"/>
  <c r="V452" i="1"/>
  <c r="X452" i="1" s="1"/>
  <c r="V453" i="1"/>
  <c r="X453" i="1" s="1"/>
  <c r="V454" i="1"/>
  <c r="V455" i="1"/>
  <c r="V456" i="1"/>
  <c r="X456" i="1" s="1"/>
  <c r="V457" i="1"/>
  <c r="X457" i="1" s="1"/>
  <c r="V458" i="1"/>
  <c r="X458" i="1" s="1"/>
  <c r="V459" i="1"/>
  <c r="X459" i="1" s="1"/>
  <c r="V460" i="1"/>
  <c r="V461" i="1"/>
  <c r="X461" i="1" s="1"/>
  <c r="V462" i="1"/>
  <c r="V463" i="1"/>
  <c r="X463" i="1" s="1"/>
  <c r="V464" i="1"/>
  <c r="V465" i="1"/>
  <c r="X465" i="1" s="1"/>
  <c r="V466" i="1"/>
  <c r="V467" i="1"/>
  <c r="V468" i="1"/>
  <c r="X468" i="1" s="1"/>
  <c r="V469" i="1"/>
  <c r="V470" i="1"/>
  <c r="X470" i="1" s="1"/>
  <c r="V471" i="1"/>
  <c r="X471" i="1" s="1"/>
  <c r="V472" i="1"/>
  <c r="X472" i="1" s="1"/>
  <c r="V473" i="1"/>
  <c r="X473" i="1" s="1"/>
  <c r="V474" i="1"/>
  <c r="X474" i="1" s="1"/>
  <c r="V475" i="1"/>
  <c r="X475" i="1" s="1"/>
  <c r="V476" i="1"/>
  <c r="X476" i="1" s="1"/>
  <c r="V477" i="1"/>
  <c r="X477" i="1" s="1"/>
  <c r="V478" i="1"/>
  <c r="V479" i="1"/>
  <c r="X479" i="1" s="1"/>
  <c r="V480" i="1"/>
  <c r="V481" i="1"/>
  <c r="X481" i="1" s="1"/>
  <c r="V482" i="1"/>
  <c r="V483" i="1"/>
  <c r="X483" i="1" s="1"/>
  <c r="V484" i="1"/>
  <c r="V485" i="1"/>
  <c r="X485" i="1" s="1"/>
  <c r="V486" i="1"/>
  <c r="V487" i="1"/>
  <c r="X487" i="1" s="1"/>
  <c r="V488" i="1"/>
  <c r="X488" i="1" s="1"/>
  <c r="V489" i="1"/>
  <c r="V490" i="1"/>
  <c r="V491" i="1"/>
  <c r="X491" i="1" s="1"/>
  <c r="V492" i="1"/>
  <c r="V493" i="1"/>
  <c r="X493" i="1" s="1"/>
  <c r="V494" i="1"/>
  <c r="V495" i="1"/>
  <c r="X495" i="1" s="1"/>
  <c r="V496" i="1"/>
  <c r="X496" i="1" s="1"/>
  <c r="V497" i="1"/>
  <c r="V498" i="1"/>
  <c r="X498" i="1" s="1"/>
  <c r="V499" i="1"/>
  <c r="V500" i="1"/>
  <c r="X500" i="1" s="1"/>
  <c r="V501" i="1"/>
  <c r="X501" i="1" s="1"/>
  <c r="V502" i="1"/>
  <c r="V503" i="1"/>
  <c r="V504" i="1"/>
  <c r="X504" i="1" s="1"/>
  <c r="V505" i="1"/>
  <c r="X505" i="1" s="1"/>
  <c r="V506" i="1"/>
  <c r="V507" i="1"/>
  <c r="V508" i="1"/>
  <c r="X508" i="1" s="1"/>
  <c r="V509" i="1"/>
  <c r="X509" i="1" s="1"/>
  <c r="V510" i="1"/>
  <c r="X510" i="1" s="1"/>
  <c r="V511" i="1"/>
  <c r="X511" i="1" s="1"/>
  <c r="V512" i="1"/>
  <c r="X512" i="1" s="1"/>
  <c r="V513" i="1"/>
  <c r="V514" i="1"/>
  <c r="X514" i="1" s="1"/>
  <c r="V515" i="1"/>
  <c r="V516" i="1"/>
  <c r="V517" i="1"/>
  <c r="X517" i="1" s="1"/>
  <c r="V518" i="1"/>
  <c r="X518" i="1" s="1"/>
  <c r="V519" i="1"/>
  <c r="V520" i="1"/>
  <c r="X520" i="1" s="1"/>
  <c r="V521" i="1"/>
  <c r="X521" i="1" s="1"/>
  <c r="V522" i="1"/>
  <c r="X522" i="1" s="1"/>
  <c r="V523" i="1"/>
  <c r="V524" i="1"/>
  <c r="X524" i="1" s="1"/>
  <c r="V525" i="1"/>
  <c r="V526" i="1"/>
  <c r="V527" i="1"/>
  <c r="V528" i="1"/>
  <c r="X528" i="1" s="1"/>
  <c r="V529" i="1"/>
  <c r="X529" i="1" s="1"/>
  <c r="V530" i="1"/>
  <c r="X530" i="1" s="1"/>
  <c r="V531" i="1"/>
  <c r="V532" i="1"/>
  <c r="X532" i="1" s="1"/>
  <c r="V533" i="1"/>
  <c r="X533" i="1" s="1"/>
  <c r="V534" i="1"/>
  <c r="V535" i="1"/>
  <c r="X535" i="1" s="1"/>
  <c r="V536" i="1"/>
  <c r="V537" i="1"/>
  <c r="X537" i="1" s="1"/>
  <c r="V538" i="1"/>
  <c r="V539" i="1"/>
  <c r="X539" i="1" s="1"/>
  <c r="V540" i="1"/>
  <c r="X540" i="1" s="1"/>
  <c r="V541" i="1"/>
  <c r="X541" i="1" s="1"/>
  <c r="V542" i="1"/>
  <c r="V543" i="1"/>
  <c r="V544" i="1"/>
  <c r="X544" i="1" s="1"/>
  <c r="V545" i="1"/>
  <c r="X545" i="1" s="1"/>
  <c r="V546" i="1"/>
  <c r="X546" i="1" s="1"/>
  <c r="V547" i="1"/>
  <c r="X547" i="1" s="1"/>
  <c r="V548" i="1"/>
  <c r="X548" i="1" s="1"/>
  <c r="V549" i="1"/>
  <c r="V550" i="1"/>
  <c r="V551" i="1"/>
  <c r="V552" i="1"/>
  <c r="X552" i="1" s="1"/>
  <c r="V553" i="1"/>
  <c r="V554" i="1"/>
  <c r="X554" i="1" s="1"/>
  <c r="V555" i="1"/>
  <c r="V556" i="1"/>
  <c r="V557" i="1"/>
  <c r="V558" i="1"/>
  <c r="X558" i="1" s="1"/>
  <c r="V559" i="1"/>
  <c r="X559" i="1" s="1"/>
  <c r="V560" i="1"/>
  <c r="X560" i="1" s="1"/>
  <c r="V561" i="1"/>
  <c r="X561" i="1" s="1"/>
  <c r="V562" i="1"/>
  <c r="V563" i="1"/>
  <c r="V564" i="1"/>
  <c r="X564" i="1" s="1"/>
  <c r="V565" i="1"/>
  <c r="V566" i="1"/>
  <c r="X566" i="1" s="1"/>
  <c r="V567" i="1"/>
  <c r="V568" i="1"/>
  <c r="V569" i="1"/>
  <c r="X569" i="1" s="1"/>
  <c r="V570" i="1"/>
  <c r="V571" i="1"/>
  <c r="V572" i="1"/>
  <c r="X572" i="1" s="1"/>
  <c r="V573" i="1"/>
  <c r="X573" i="1" s="1"/>
  <c r="V574" i="1"/>
  <c r="V575" i="1"/>
  <c r="X575" i="1" s="1"/>
  <c r="V576" i="1"/>
  <c r="X576" i="1" s="1"/>
  <c r="V577" i="1"/>
  <c r="V578" i="1"/>
  <c r="X578" i="1" s="1"/>
  <c r="V579" i="1"/>
  <c r="V580" i="1"/>
  <c r="X580" i="1" s="1"/>
  <c r="V581" i="1"/>
  <c r="V582" i="1"/>
  <c r="X582" i="1" s="1"/>
  <c r="V583" i="1"/>
  <c r="X583" i="1" s="1"/>
  <c r="V584" i="1"/>
  <c r="X584" i="1" s="1"/>
  <c r="V585" i="1"/>
  <c r="X585" i="1" s="1"/>
  <c r="V586" i="1"/>
  <c r="V587" i="1"/>
  <c r="X587" i="1" s="1"/>
  <c r="V588" i="1"/>
  <c r="X588" i="1" s="1"/>
  <c r="V589" i="1"/>
  <c r="X589" i="1" s="1"/>
  <c r="V590" i="1"/>
  <c r="V591" i="1"/>
  <c r="X591" i="1" s="1"/>
  <c r="V592" i="1"/>
  <c r="X592" i="1" s="1"/>
  <c r="V593" i="1"/>
  <c r="V594" i="1"/>
  <c r="X594" i="1" s="1"/>
  <c r="V595" i="1"/>
  <c r="V596" i="1"/>
  <c r="X596" i="1" s="1"/>
  <c r="V597" i="1"/>
  <c r="X597" i="1" s="1"/>
  <c r="V598" i="1"/>
  <c r="X598" i="1" s="1"/>
  <c r="V599" i="1"/>
  <c r="X599" i="1" s="1"/>
  <c r="V600" i="1"/>
  <c r="V601" i="1"/>
  <c r="X601" i="1" s="1"/>
  <c r="V602" i="1"/>
  <c r="X602" i="1" s="1"/>
  <c r="V603" i="1"/>
  <c r="X603" i="1" s="1"/>
  <c r="V604" i="1"/>
  <c r="V605" i="1"/>
  <c r="X605" i="1" s="1"/>
  <c r="V606" i="1"/>
  <c r="X606" i="1" s="1"/>
  <c r="V607" i="1"/>
  <c r="X607" i="1" s="1"/>
  <c r="V608" i="1"/>
  <c r="X608" i="1" s="1"/>
  <c r="V609" i="1"/>
  <c r="V610" i="1"/>
  <c r="V611" i="1"/>
  <c r="X611" i="1" s="1"/>
  <c r="V612" i="1"/>
  <c r="X612" i="1" s="1"/>
  <c r="V613" i="1"/>
  <c r="V614" i="1"/>
  <c r="X614" i="1" s="1"/>
  <c r="V615" i="1"/>
  <c r="V616" i="1"/>
  <c r="V617" i="1"/>
  <c r="X617" i="1" s="1"/>
  <c r="V618" i="1"/>
  <c r="V619" i="1"/>
  <c r="X619" i="1" s="1"/>
  <c r="V620" i="1"/>
  <c r="X620" i="1" s="1"/>
  <c r="V621" i="1"/>
  <c r="V622" i="1"/>
  <c r="X622" i="1" s="1"/>
  <c r="V623" i="1"/>
  <c r="V624" i="1"/>
  <c r="V625" i="1"/>
  <c r="V626" i="1"/>
  <c r="V627" i="1"/>
  <c r="X627" i="1" s="1"/>
  <c r="V628" i="1"/>
  <c r="V629" i="1"/>
  <c r="X629" i="1" s="1"/>
  <c r="V630" i="1"/>
  <c r="X630" i="1" s="1"/>
  <c r="V631" i="1"/>
  <c r="X631" i="1" s="1"/>
  <c r="V632" i="1"/>
  <c r="X632" i="1" s="1"/>
  <c r="V633" i="1"/>
  <c r="X633" i="1" s="1"/>
  <c r="V634" i="1"/>
  <c r="X634" i="1" s="1"/>
  <c r="V635" i="1"/>
  <c r="V636" i="1"/>
  <c r="X636" i="1" s="1"/>
  <c r="V637" i="1"/>
  <c r="X637" i="1" s="1"/>
  <c r="V638" i="1"/>
  <c r="V639" i="1"/>
  <c r="V640" i="1"/>
  <c r="X640" i="1" s="1"/>
  <c r="V641" i="1"/>
  <c r="X641" i="1" s="1"/>
  <c r="V642" i="1"/>
  <c r="X642" i="1" s="1"/>
  <c r="V643" i="1"/>
  <c r="X643" i="1" s="1"/>
  <c r="V644" i="1"/>
  <c r="X644" i="1" s="1"/>
  <c r="V645" i="1"/>
  <c r="V646" i="1"/>
  <c r="X646" i="1" s="1"/>
  <c r="V647" i="1"/>
  <c r="X647" i="1" s="1"/>
  <c r="V648" i="1"/>
  <c r="V649" i="1"/>
  <c r="X649" i="1" s="1"/>
  <c r="V650" i="1"/>
  <c r="V651" i="1"/>
  <c r="V652" i="1"/>
  <c r="X652" i="1" s="1"/>
  <c r="V653" i="1"/>
  <c r="X653" i="1" s="1"/>
  <c r="V654" i="1"/>
  <c r="V655" i="1"/>
  <c r="X655" i="1" s="1"/>
  <c r="V656" i="1"/>
  <c r="V657" i="1"/>
  <c r="X657" i="1" s="1"/>
  <c r="V2" i="1"/>
  <c r="X2" i="1" s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2" i="1"/>
</calcChain>
</file>

<file path=xl/sharedStrings.xml><?xml version="1.0" encoding="utf-8"?>
<sst xmlns="http://schemas.openxmlformats.org/spreadsheetml/2006/main" count="3005" uniqueCount="368">
  <si>
    <t>collision_index</t>
  </si>
  <si>
    <t>collision_year</t>
  </si>
  <si>
    <t>collision_ref_no</t>
  </si>
  <si>
    <t>location_easting_osgr</t>
  </si>
  <si>
    <t>location_northing_osgr</t>
  </si>
  <si>
    <t>longitude</t>
  </si>
  <si>
    <t>latitude</t>
  </si>
  <si>
    <t>police_force</t>
  </si>
  <si>
    <t>collision_severity</t>
  </si>
  <si>
    <t>number_of_vehicles</t>
  </si>
  <si>
    <t>number_of_casualties</t>
  </si>
  <si>
    <t>date</t>
  </si>
  <si>
    <t>day_of_week</t>
  </si>
  <si>
    <t>time</t>
  </si>
  <si>
    <t>local_authority_district</t>
  </si>
  <si>
    <t>local_authority_ons_district</t>
  </si>
  <si>
    <t>local_authority_highway</t>
  </si>
  <si>
    <t>local_authority_highway_current</t>
  </si>
  <si>
    <t>first_road_class</t>
  </si>
  <si>
    <t>first_road_number</t>
  </si>
  <si>
    <t>road_type</t>
  </si>
  <si>
    <t>speed_limit</t>
  </si>
  <si>
    <t>junction_detail_historic</t>
  </si>
  <si>
    <t>junction_detail</t>
  </si>
  <si>
    <t>junction_control</t>
  </si>
  <si>
    <t>second_road_class</t>
  </si>
  <si>
    <t>second_road_number</t>
  </si>
  <si>
    <t>pedestrian_crossing_human_control_historic</t>
  </si>
  <si>
    <t>pedestrian_crossing_physical_facilities_historic</t>
  </si>
  <si>
    <t>pedestrian_crossing</t>
  </si>
  <si>
    <t>light_conditions</t>
  </si>
  <si>
    <t>weather_conditions</t>
  </si>
  <si>
    <t>road_surface_conditions</t>
  </si>
  <si>
    <t>special_conditions_at_site</t>
  </si>
  <si>
    <t>carriageway_hazards_historic</t>
  </si>
  <si>
    <t>carriageway_hazards</t>
  </si>
  <si>
    <t>urban_or_rural_area</t>
  </si>
  <si>
    <t>did_police_officer_attend_scene_of_accident</t>
  </si>
  <si>
    <t>trunk_road_flag</t>
  </si>
  <si>
    <t>lsoa_of_accident_location</t>
  </si>
  <si>
    <t>enhanced_severity_collision</t>
  </si>
  <si>
    <t>collision_injury_based</t>
  </si>
  <si>
    <t>collision_adjusted_severity_serious</t>
  </si>
  <si>
    <t>collision_adjusted_severity_slight</t>
  </si>
  <si>
    <t>E07000239</t>
  </si>
  <si>
    <t>E10000034</t>
  </si>
  <si>
    <t>E01032440</t>
  </si>
  <si>
    <t>E07000234</t>
  </si>
  <si>
    <t>E01032131</t>
  </si>
  <si>
    <t>E07000235</t>
  </si>
  <si>
    <t>E01032191</t>
  </si>
  <si>
    <t>E01032157</t>
  </si>
  <si>
    <t>E01032187</t>
  </si>
  <si>
    <t>E01032137</t>
  </si>
  <si>
    <t>E07000238</t>
  </si>
  <si>
    <t>E01032417</t>
  </si>
  <si>
    <t>E01033060</t>
  </si>
  <si>
    <t>E01032461</t>
  </si>
  <si>
    <t>E01032389</t>
  </si>
  <si>
    <t>E01034334</t>
  </si>
  <si>
    <t>E07000237</t>
  </si>
  <si>
    <t>E01032282</t>
  </si>
  <si>
    <t>E01032183</t>
  </si>
  <si>
    <t>E01032469</t>
  </si>
  <si>
    <t>E01032190</t>
  </si>
  <si>
    <t>E01032207</t>
  </si>
  <si>
    <t>E01032399</t>
  </si>
  <si>
    <t>E01034329</t>
  </si>
  <si>
    <t>E01032292</t>
  </si>
  <si>
    <t>E07000236</t>
  </si>
  <si>
    <t>E01032253</t>
  </si>
  <si>
    <t>E01032156</t>
  </si>
  <si>
    <t>E01032388</t>
  </si>
  <si>
    <t>E01032141</t>
  </si>
  <si>
    <t>E01032358</t>
  </si>
  <si>
    <t>E01032339</t>
  </si>
  <si>
    <t>E01032223</t>
  </si>
  <si>
    <t>E01032122</t>
  </si>
  <si>
    <t>E01032199</t>
  </si>
  <si>
    <t>E01033248</t>
  </si>
  <si>
    <t>E01032432</t>
  </si>
  <si>
    <t>E01032370</t>
  </si>
  <si>
    <t>E01032198</t>
  </si>
  <si>
    <t>E01032353</t>
  </si>
  <si>
    <t>E01032462</t>
  </si>
  <si>
    <t>E01032445</t>
  </si>
  <si>
    <t>E01032372</t>
  </si>
  <si>
    <t>E01032478</t>
  </si>
  <si>
    <t>E01033247</t>
  </si>
  <si>
    <t>E01032428</t>
  </si>
  <si>
    <t>E01032398</t>
  </si>
  <si>
    <t>E01032480</t>
  </si>
  <si>
    <t>E01032228</t>
  </si>
  <si>
    <t>E01032345</t>
  </si>
  <si>
    <t>E01032351</t>
  </si>
  <si>
    <t>E01032301</t>
  </si>
  <si>
    <t>E01032420</t>
  </si>
  <si>
    <t>E01034330</t>
  </si>
  <si>
    <t>E01032145</t>
  </si>
  <si>
    <t>E01033059</t>
  </si>
  <si>
    <t>E01032418</t>
  </si>
  <si>
    <t>E01032430</t>
  </si>
  <si>
    <t>E01032208</t>
  </si>
  <si>
    <t>E01033062</t>
  </si>
  <si>
    <t>E01032296</t>
  </si>
  <si>
    <t>E01032454</t>
  </si>
  <si>
    <t>E01032378</t>
  </si>
  <si>
    <t>E01032346</t>
  </si>
  <si>
    <t>E01032383</t>
  </si>
  <si>
    <t>E01032299</t>
  </si>
  <si>
    <t>E01032459</t>
  </si>
  <si>
    <t>E01033243</t>
  </si>
  <si>
    <t>E01032216</t>
  </si>
  <si>
    <t>E01032160</t>
  </si>
  <si>
    <t>E01032467</t>
  </si>
  <si>
    <t>E01032286</t>
  </si>
  <si>
    <t>E01032173</t>
  </si>
  <si>
    <t>E01032460</t>
  </si>
  <si>
    <t>E01032244</t>
  </si>
  <si>
    <t>E01032259</t>
  </si>
  <si>
    <t>E01032136</t>
  </si>
  <si>
    <t>E01032206</t>
  </si>
  <si>
    <t>E01033249</t>
  </si>
  <si>
    <t>E01032193</t>
  </si>
  <si>
    <t>E01032404</t>
  </si>
  <si>
    <t>E01032176</t>
  </si>
  <si>
    <t>E01032172</t>
  </si>
  <si>
    <t>E01034318</t>
  </si>
  <si>
    <t>E01032134</t>
  </si>
  <si>
    <t>E01032182</t>
  </si>
  <si>
    <t>E01032330</t>
  </si>
  <si>
    <t>E01034325</t>
  </si>
  <si>
    <t>E01032403</t>
  </si>
  <si>
    <t>E01032158</t>
  </si>
  <si>
    <t>E01032374</t>
  </si>
  <si>
    <t>E01032481</t>
  </si>
  <si>
    <t>E01032143</t>
  </si>
  <si>
    <t>E01032448</t>
  </si>
  <si>
    <t>E01032376</t>
  </si>
  <si>
    <t>E01032423</t>
  </si>
  <si>
    <t>E01032402</t>
  </si>
  <si>
    <t>E01032392</t>
  </si>
  <si>
    <t>E01033246</t>
  </si>
  <si>
    <t>E01032278</t>
  </si>
  <si>
    <t>E01032475</t>
  </si>
  <si>
    <t>E01032455</t>
  </si>
  <si>
    <t>E01032170</t>
  </si>
  <si>
    <t>E01032161</t>
  </si>
  <si>
    <t>E01032451</t>
  </si>
  <si>
    <t>E01032169</t>
  </si>
  <si>
    <t>E01032410</t>
  </si>
  <si>
    <t>E01032258</t>
  </si>
  <si>
    <t>E01034332</t>
  </si>
  <si>
    <t>E01032386</t>
  </si>
  <si>
    <t>E01032297</t>
  </si>
  <si>
    <t>E01032334</t>
  </si>
  <si>
    <t>E01032256</t>
  </si>
  <si>
    <t>E01032352</t>
  </si>
  <si>
    <t>E01032196</t>
  </si>
  <si>
    <t>E01032201</t>
  </si>
  <si>
    <t>E01032287</t>
  </si>
  <si>
    <t>E01032200</t>
  </si>
  <si>
    <t>E01032349</t>
  </si>
  <si>
    <t>E01032279</t>
  </si>
  <si>
    <t>E01032230</t>
  </si>
  <si>
    <t>E01032407</t>
  </si>
  <si>
    <t>E01032220</t>
  </si>
  <si>
    <t>E01032338</t>
  </si>
  <si>
    <t>E01032332</t>
  </si>
  <si>
    <t>E01032155</t>
  </si>
  <si>
    <t>E01034331</t>
  </si>
  <si>
    <t>E01032415</t>
  </si>
  <si>
    <t>E01032476</t>
  </si>
  <si>
    <t>E01032311</t>
  </si>
  <si>
    <t>E01032373</t>
  </si>
  <si>
    <t>E01032479</t>
  </si>
  <si>
    <t>E01032232</t>
  </si>
  <si>
    <t>E01032359</t>
  </si>
  <si>
    <t>E01034324</t>
  </si>
  <si>
    <t>E01032218</t>
  </si>
  <si>
    <t>E01032391</t>
  </si>
  <si>
    <t>E01032304</t>
  </si>
  <si>
    <t>E01032277</t>
  </si>
  <si>
    <t>E01032350</t>
  </si>
  <si>
    <t>E01032144</t>
  </si>
  <si>
    <t>E01032138</t>
  </si>
  <si>
    <t>E01032288</t>
  </si>
  <si>
    <t>E01032236</t>
  </si>
  <si>
    <t>E01032181</t>
  </si>
  <si>
    <t>E01032211</t>
  </si>
  <si>
    <t>E01032123</t>
  </si>
  <si>
    <t>E01032313</t>
  </si>
  <si>
    <t>E01032262</t>
  </si>
  <si>
    <t>E01032302</t>
  </si>
  <si>
    <t>E01034317</t>
  </si>
  <si>
    <t>E01032416</t>
  </si>
  <si>
    <t>E01032175</t>
  </si>
  <si>
    <t>E01032318</t>
  </si>
  <si>
    <t>E01032162</t>
  </si>
  <si>
    <t>E01034326</t>
  </si>
  <si>
    <t>E01032357</t>
  </si>
  <si>
    <t>E01032377</t>
  </si>
  <si>
    <t>E01032379</t>
  </si>
  <si>
    <t>E01032241</t>
  </si>
  <si>
    <t>E01032425</t>
  </si>
  <si>
    <t>E01032280</t>
  </si>
  <si>
    <t>E01032368</t>
  </si>
  <si>
    <t>E01032441</t>
  </si>
  <si>
    <t>E01032235</t>
  </si>
  <si>
    <t>E01032234</t>
  </si>
  <si>
    <t>E01032355</t>
  </si>
  <si>
    <t>E01032205</t>
  </si>
  <si>
    <t>E01032433</t>
  </si>
  <si>
    <t>E01032466</t>
  </si>
  <si>
    <t>E01032308</t>
  </si>
  <si>
    <t>E01032408</t>
  </si>
  <si>
    <t>E01032195</t>
  </si>
  <si>
    <t>E01032409</t>
  </si>
  <si>
    <t>E01032405</t>
  </si>
  <si>
    <t>E01032394</t>
  </si>
  <si>
    <t>E01032328</t>
  </si>
  <si>
    <t>E01032276</t>
  </si>
  <si>
    <t>E01032224</t>
  </si>
  <si>
    <t>E01032153</t>
  </si>
  <si>
    <t>E01032179</t>
  </si>
  <si>
    <t>E01032274</t>
  </si>
  <si>
    <t>E01032237</t>
  </si>
  <si>
    <t>E01032284</t>
  </si>
  <si>
    <t>E01032387</t>
  </si>
  <si>
    <t>E01032431</t>
  </si>
  <si>
    <t>E01032443</t>
  </si>
  <si>
    <t>E01032221</t>
  </si>
  <si>
    <t>E01032151</t>
  </si>
  <si>
    <t>E01032180</t>
  </si>
  <si>
    <t>E01032248</t>
  </si>
  <si>
    <t>E01032251</t>
  </si>
  <si>
    <t>E01032129</t>
  </si>
  <si>
    <t>E01032148</t>
  </si>
  <si>
    <t>E01032203</t>
  </si>
  <si>
    <t>E01032186</t>
  </si>
  <si>
    <t>E01032184</t>
  </si>
  <si>
    <t>E01032263</t>
  </si>
  <si>
    <t>E01032306</t>
  </si>
  <si>
    <t>E01032217</t>
  </si>
  <si>
    <t>E01032226</t>
  </si>
  <si>
    <t>E01032336</t>
  </si>
  <si>
    <t>E01032204</t>
  </si>
  <si>
    <t>E01032178</t>
  </si>
  <si>
    <t>E01032465</t>
  </si>
  <si>
    <t>E01032335</t>
  </si>
  <si>
    <t>E01032283</t>
  </si>
  <si>
    <t>E01032446</t>
  </si>
  <si>
    <t>E01032333</t>
  </si>
  <si>
    <t>E01032439</t>
  </si>
  <si>
    <t>E01032400</t>
  </si>
  <si>
    <t>E01032309</t>
  </si>
  <si>
    <t>E01032242</t>
  </si>
  <si>
    <t>E01032395</t>
  </si>
  <si>
    <t>E01032344</t>
  </si>
  <si>
    <t>E01032126</t>
  </si>
  <si>
    <t>E01032307</t>
  </si>
  <si>
    <t>E01034328</t>
  </si>
  <si>
    <t>E01032194</t>
  </si>
  <si>
    <t>E01032364</t>
  </si>
  <si>
    <t>E01032401</t>
  </si>
  <si>
    <t>E01032266</t>
  </si>
  <si>
    <t>E01032243</t>
  </si>
  <si>
    <t>E01032473</t>
  </si>
  <si>
    <t>E01032322</t>
  </si>
  <si>
    <t>E01032369</t>
  </si>
  <si>
    <t>E01032300</t>
  </si>
  <si>
    <t>E01032213</t>
  </si>
  <si>
    <t>E01032273</t>
  </si>
  <si>
    <t>E01032327</t>
  </si>
  <si>
    <t>E01032324</t>
  </si>
  <si>
    <t>E01032444</t>
  </si>
  <si>
    <t>E01032124</t>
  </si>
  <si>
    <t>E01032456</t>
  </si>
  <si>
    <t>E01032348</t>
  </si>
  <si>
    <t>E01032159</t>
  </si>
  <si>
    <t>E01032128</t>
  </si>
  <si>
    <t>E01032474</t>
  </si>
  <si>
    <t>E01032133</t>
  </si>
  <si>
    <t>E01032329</t>
  </si>
  <si>
    <t>E01032412</t>
  </si>
  <si>
    <t>E01032310</t>
  </si>
  <si>
    <t>E01032411</t>
  </si>
  <si>
    <t>E01032188</t>
  </si>
  <si>
    <t>E01032317</t>
  </si>
  <si>
    <t>E01032303</t>
  </si>
  <si>
    <t>E01032452</t>
  </si>
  <si>
    <t>E01032222</t>
  </si>
  <si>
    <t>E01032146</t>
  </si>
  <si>
    <t>E01032341</t>
  </si>
  <si>
    <t>E01032381</t>
  </si>
  <si>
    <t>E01032140</t>
  </si>
  <si>
    <t>E01032435</t>
  </si>
  <si>
    <t>E01032323</t>
  </si>
  <si>
    <t>E01032202</t>
  </si>
  <si>
    <t>E01032413</t>
  </si>
  <si>
    <t>E01032255</t>
  </si>
  <si>
    <t>E01032267</t>
  </si>
  <si>
    <t>E01032257</t>
  </si>
  <si>
    <t>E01032127</t>
  </si>
  <si>
    <t>E01032139</t>
  </si>
  <si>
    <t>E01032219</t>
  </si>
  <si>
    <t>E01032366</t>
  </si>
  <si>
    <t>E01032342</t>
  </si>
  <si>
    <t>E01032367</t>
  </si>
  <si>
    <t>Code</t>
  </si>
  <si>
    <t>Fatal</t>
  </si>
  <si>
    <t>Serious</t>
  </si>
  <si>
    <t>Slight</t>
  </si>
  <si>
    <t>Sunday</t>
  </si>
  <si>
    <t>Monday</t>
  </si>
  <si>
    <t>Tuesday</t>
  </si>
  <si>
    <t>Wednesday</t>
  </si>
  <si>
    <t>Thursday</t>
  </si>
  <si>
    <t>Friday</t>
  </si>
  <si>
    <t>Saturday</t>
  </si>
  <si>
    <t>Field name</t>
  </si>
  <si>
    <t>Roundabout</t>
  </si>
  <si>
    <t>One way street</t>
  </si>
  <si>
    <t>Dual carriageway</t>
  </si>
  <si>
    <t>Single carriageway</t>
  </si>
  <si>
    <t>Slip road</t>
  </si>
  <si>
    <t>Unknown</t>
  </si>
  <si>
    <t>One way street/Slip road</t>
  </si>
  <si>
    <t>Data missing or out of range</t>
  </si>
  <si>
    <t>Daylight</t>
  </si>
  <si>
    <t>Label</t>
  </si>
  <si>
    <t>Other</t>
  </si>
  <si>
    <t>collision_severity_text</t>
  </si>
  <si>
    <t>road_type_text</t>
  </si>
  <si>
    <t>Fine / Clear</t>
  </si>
  <si>
    <t>Rain</t>
  </si>
  <si>
    <t>Snow / Ice</t>
  </si>
  <si>
    <t>High Winds</t>
  </si>
  <si>
    <t>Rain &amp; High Winds</t>
  </si>
  <si>
    <t>Snow / Ice &amp; High Winds</t>
  </si>
  <si>
    <t>Fog / Mist</t>
  </si>
  <si>
    <t xml:space="preserve">Data missing </t>
  </si>
  <si>
    <t>Darkness (Unlit)</t>
  </si>
  <si>
    <t>Darkness (Lit)</t>
  </si>
  <si>
    <t>Data missing</t>
  </si>
  <si>
    <t>Darkness (lighting unknown)</t>
  </si>
  <si>
    <t>Dry</t>
  </si>
  <si>
    <t>Snow</t>
  </si>
  <si>
    <t>Frost or ice</t>
  </si>
  <si>
    <t>Oil or diesel</t>
  </si>
  <si>
    <t>Mud</t>
  </si>
  <si>
    <t>unknown (self reported)</t>
  </si>
  <si>
    <t>Wet / damp</t>
  </si>
  <si>
    <t>Flood over 3cm</t>
  </si>
  <si>
    <t>light_conditions_text</t>
  </si>
  <si>
    <t>weather_conditions_text</t>
  </si>
  <si>
    <t>road_surface_conditions_text</t>
  </si>
  <si>
    <t>first_road_class_text</t>
  </si>
  <si>
    <t>Road Number Final</t>
  </si>
  <si>
    <t>A</t>
  </si>
  <si>
    <t>B</t>
  </si>
  <si>
    <t>C</t>
  </si>
  <si>
    <t>Unclassified</t>
  </si>
  <si>
    <t>1 to 9999</t>
  </si>
  <si>
    <t>Number range</t>
  </si>
  <si>
    <t>-1</t>
  </si>
  <si>
    <t xml:space="preserve">first_road_class is C or Unclassified. These roads do not have official numbers so recorded as zero 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</si>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</sst>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49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0B96D-309B-4F9B-8EEB-E1CCCF798F49}">
  <dimension ref="A1:AZ657"/>
  <sheetViews>
    <sheetView tabSelected="1" topLeftCell="S1" workbookViewId="0">
      <selection activeCell="X1" sqref="X1:X1048576"/>
    </sheetView>
  </sheetViews>
  <sheetFormatPr defaultRowHeight="14.5" x14ac:dyDescent="0.35"/>
  <cols>
    <col min="1" max="1" width="15" customWidth="1"/>
    <col min="9" max="9" width="15.81640625" customWidth="1"/>
    <col min="10" max="10" width="19.36328125" bestFit="1" customWidth="1"/>
    <col min="13" max="13" width="10.08984375" bestFit="1" customWidth="1"/>
    <col min="14" max="15" width="12.1796875" customWidth="1"/>
    <col min="21" max="21" width="14.08984375" customWidth="1"/>
    <col min="22" max="22" width="18.26953125" bestFit="1" customWidth="1"/>
    <col min="23" max="23" width="16.6328125" bestFit="1" customWidth="1"/>
    <col min="24" max="24" width="17.453125" bestFit="1" customWidth="1"/>
    <col min="26" max="26" width="16.453125" customWidth="1"/>
    <col min="36" max="36" width="14.54296875" bestFit="1" customWidth="1"/>
    <col min="37" max="37" width="18.36328125" bestFit="1" customWidth="1"/>
    <col min="38" max="38" width="17.90625" customWidth="1"/>
    <col min="39" max="39" width="21.54296875" bestFit="1" customWidth="1"/>
    <col min="40" max="40" width="22.1796875" bestFit="1" customWidth="1"/>
    <col min="41" max="41" width="26" bestFit="1" customWidth="1"/>
  </cols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332</v>
      </c>
      <c r="K1" t="s">
        <v>9</v>
      </c>
      <c r="L1" t="s">
        <v>10</v>
      </c>
      <c r="M1" t="s">
        <v>11</v>
      </c>
      <c r="N1" t="s">
        <v>12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357</v>
      </c>
      <c r="W1" t="s">
        <v>19</v>
      </c>
      <c r="X1" t="s">
        <v>358</v>
      </c>
      <c r="Y1" t="s">
        <v>20</v>
      </c>
      <c r="Z1" t="s">
        <v>333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354</v>
      </c>
      <c r="AL1" t="s">
        <v>31</v>
      </c>
      <c r="AM1" t="s">
        <v>355</v>
      </c>
      <c r="AN1" t="s">
        <v>32</v>
      </c>
      <c r="AO1" t="s">
        <v>356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</row>
    <row r="2" spans="1:52" x14ac:dyDescent="0.35">
      <c r="A2">
        <v>2025221567733</v>
      </c>
      <c r="B2">
        <v>2025</v>
      </c>
      <c r="C2">
        <v>221567733</v>
      </c>
      <c r="D2">
        <v>384636</v>
      </c>
      <c r="E2">
        <v>279562</v>
      </c>
      <c r="F2">
        <v>-2.2273100000000001</v>
      </c>
      <c r="G2">
        <v>52.41384</v>
      </c>
      <c r="H2">
        <v>22</v>
      </c>
      <c r="I2">
        <v>3</v>
      </c>
      <c r="J2" t="str">
        <f>VLOOKUP(I2, Lookups!$B$1:$C$4, 2, FALSE)</f>
        <v>Slight</v>
      </c>
      <c r="K2">
        <v>2</v>
      </c>
      <c r="L2">
        <v>1</v>
      </c>
      <c r="M2" s="1">
        <v>45737</v>
      </c>
      <c r="N2">
        <v>6</v>
      </c>
      <c r="O2" t="str">
        <f>VLOOKUP(N2, Lookups!$B$6:$C$12, 2, FALSE)</f>
        <v>Friday</v>
      </c>
      <c r="P2" s="2">
        <v>0.55694444444444446</v>
      </c>
      <c r="Q2">
        <v>-1</v>
      </c>
      <c r="R2" t="s">
        <v>44</v>
      </c>
      <c r="S2" t="s">
        <v>45</v>
      </c>
      <c r="T2" t="s">
        <v>45</v>
      </c>
      <c r="U2">
        <v>3</v>
      </c>
      <c r="V2" t="str">
        <f>VLOOKUP(U2, Lookups!$B$51:$C$57, 2, FALSE)</f>
        <v>A</v>
      </c>
      <c r="W2">
        <v>449</v>
      </c>
      <c r="X2" t="str">
        <f>V2&amp;W2</f>
        <v>A449</v>
      </c>
      <c r="Y2">
        <v>6</v>
      </c>
      <c r="Z2" t="str">
        <f>VLOOKUP(Y2, Lookups!$B$14:$C$21, 2, FALSE)</f>
        <v>Single carriageway</v>
      </c>
      <c r="AA2">
        <v>60</v>
      </c>
      <c r="AB2">
        <v>-1</v>
      </c>
      <c r="AC2">
        <v>13</v>
      </c>
      <c r="AD2">
        <v>4</v>
      </c>
      <c r="AE2">
        <v>6</v>
      </c>
      <c r="AF2">
        <v>0</v>
      </c>
      <c r="AG2">
        <v>-1</v>
      </c>
      <c r="AH2">
        <v>-1</v>
      </c>
      <c r="AI2">
        <v>0</v>
      </c>
      <c r="AJ2">
        <v>1</v>
      </c>
      <c r="AK2" t="str">
        <f>VLOOKUP(AJ2, Lookups!$B$23:$C$28, 2, FALSE)</f>
        <v>Daylight</v>
      </c>
      <c r="AL2">
        <v>1</v>
      </c>
      <c r="AM2" t="str">
        <f>VLOOKUP(AL2, Lookups!$B$30:$C$39, 2, FALSE)</f>
        <v>Fine / Clear</v>
      </c>
      <c r="AN2">
        <v>1</v>
      </c>
      <c r="AO2" t="str">
        <f>VLOOKUP(AN2, Lookups!$B$41:$C$49, 2, FALSE)</f>
        <v>Dry</v>
      </c>
      <c r="AP2">
        <v>-1</v>
      </c>
      <c r="AQ2">
        <v>-1</v>
      </c>
      <c r="AR2">
        <v>0</v>
      </c>
      <c r="AS2">
        <v>2</v>
      </c>
      <c r="AT2">
        <v>1</v>
      </c>
      <c r="AU2">
        <v>2</v>
      </c>
      <c r="AV2" t="s">
        <v>46</v>
      </c>
      <c r="AW2">
        <v>3</v>
      </c>
      <c r="AX2">
        <v>1</v>
      </c>
      <c r="AY2">
        <v>0</v>
      </c>
      <c r="AZ2">
        <v>1</v>
      </c>
    </row>
    <row r="3" spans="1:52" x14ac:dyDescent="0.35">
      <c r="A3">
        <v>2025221588675</v>
      </c>
      <c r="B3">
        <v>2025</v>
      </c>
      <c r="C3">
        <v>221588675</v>
      </c>
      <c r="D3">
        <v>395304</v>
      </c>
      <c r="E3">
        <v>269898</v>
      </c>
      <c r="F3">
        <v>-2.0703299999999998</v>
      </c>
      <c r="G3">
        <v>52.327150000000003</v>
      </c>
      <c r="H3">
        <v>22</v>
      </c>
      <c r="I3">
        <v>3</v>
      </c>
      <c r="J3" t="str">
        <f>VLOOKUP(I3, Lookups!$B$1:$C$4, 2, FALSE)</f>
        <v>Slight</v>
      </c>
      <c r="K3">
        <v>2</v>
      </c>
      <c r="L3">
        <v>1</v>
      </c>
      <c r="M3" s="1">
        <v>45787</v>
      </c>
      <c r="N3">
        <v>7</v>
      </c>
      <c r="O3" t="str">
        <f>VLOOKUP(N3, Lookups!$B$6:$C$12, 2, FALSE)</f>
        <v>Saturday</v>
      </c>
      <c r="P3" s="2">
        <v>0.73958333333333337</v>
      </c>
      <c r="Q3">
        <v>-1</v>
      </c>
      <c r="R3" t="s">
        <v>47</v>
      </c>
      <c r="S3" t="s">
        <v>45</v>
      </c>
      <c r="T3" t="s">
        <v>45</v>
      </c>
      <c r="U3">
        <v>4</v>
      </c>
      <c r="V3" t="str">
        <f>VLOOKUP(U3, Lookups!$B$51:$C$57, 2, FALSE)</f>
        <v>B</v>
      </c>
      <c r="W3">
        <v>4091</v>
      </c>
      <c r="X3" t="str">
        <f t="shared" ref="X3:X4" si="0">V3&amp;W3</f>
        <v>B4091</v>
      </c>
      <c r="Y3">
        <v>1</v>
      </c>
      <c r="Z3" t="str">
        <f>VLOOKUP(Y3, Lookups!$B$14:$C$21, 2, FALSE)</f>
        <v>Roundabout</v>
      </c>
      <c r="AA3">
        <v>30</v>
      </c>
      <c r="AB3">
        <v>-1</v>
      </c>
      <c r="AC3">
        <v>-1</v>
      </c>
      <c r="AD3">
        <v>4</v>
      </c>
      <c r="AE3">
        <v>6</v>
      </c>
      <c r="AF3">
        <v>0</v>
      </c>
      <c r="AG3">
        <v>-1</v>
      </c>
      <c r="AH3">
        <v>-1</v>
      </c>
      <c r="AI3">
        <v>0</v>
      </c>
      <c r="AJ3">
        <v>1</v>
      </c>
      <c r="AK3" t="str">
        <f>VLOOKUP(AJ3, Lookups!$B$23:$C$28, 2, FALSE)</f>
        <v>Daylight</v>
      </c>
      <c r="AL3">
        <v>1</v>
      </c>
      <c r="AM3" t="str">
        <f>VLOOKUP(AL3, Lookups!$B$30:$C$39, 2, FALSE)</f>
        <v>Fine / Clear</v>
      </c>
      <c r="AN3">
        <v>1</v>
      </c>
      <c r="AO3" t="str">
        <f>VLOOKUP(AN3, Lookups!$B$41:$C$49, 2, FALSE)</f>
        <v>Dry</v>
      </c>
      <c r="AP3">
        <v>-1</v>
      </c>
      <c r="AQ3">
        <v>-1</v>
      </c>
      <c r="AR3">
        <v>0</v>
      </c>
      <c r="AS3">
        <v>1</v>
      </c>
      <c r="AT3">
        <v>1</v>
      </c>
      <c r="AU3">
        <v>2</v>
      </c>
      <c r="AV3" t="s">
        <v>48</v>
      </c>
      <c r="AW3">
        <v>3</v>
      </c>
      <c r="AX3">
        <v>1</v>
      </c>
      <c r="AY3">
        <v>0</v>
      </c>
      <c r="AZ3">
        <v>1</v>
      </c>
    </row>
    <row r="4" spans="1:52" x14ac:dyDescent="0.35">
      <c r="A4">
        <v>2025221635237</v>
      </c>
      <c r="B4">
        <v>2025</v>
      </c>
      <c r="C4">
        <v>221635237</v>
      </c>
      <c r="D4">
        <v>386597</v>
      </c>
      <c r="E4">
        <v>246424</v>
      </c>
      <c r="F4">
        <v>-2.1971500000000002</v>
      </c>
      <c r="G4">
        <v>52.115969999999997</v>
      </c>
      <c r="H4">
        <v>22</v>
      </c>
      <c r="I4">
        <v>3</v>
      </c>
      <c r="J4" t="str">
        <f>VLOOKUP(I4, Lookups!$B$1:$C$4, 2, FALSE)</f>
        <v>Slight</v>
      </c>
      <c r="K4">
        <v>2</v>
      </c>
      <c r="L4">
        <v>1</v>
      </c>
      <c r="M4" s="1">
        <v>45898</v>
      </c>
      <c r="N4">
        <v>6</v>
      </c>
      <c r="O4" t="str">
        <f>VLOOKUP(N4, Lookups!$B$6:$C$12, 2, FALSE)</f>
        <v>Friday</v>
      </c>
      <c r="P4" s="2">
        <v>0.47916666666666669</v>
      </c>
      <c r="Q4">
        <v>-1</v>
      </c>
      <c r="R4" t="s">
        <v>49</v>
      </c>
      <c r="S4" t="s">
        <v>45</v>
      </c>
      <c r="T4" t="s">
        <v>45</v>
      </c>
      <c r="U4">
        <v>1</v>
      </c>
      <c r="V4" t="str">
        <f>VLOOKUP(U4, Lookups!$B$51:$C$57, 2, FALSE)</f>
        <v>M</v>
      </c>
      <c r="W4">
        <v>5</v>
      </c>
      <c r="X4" t="str">
        <f t="shared" si="0"/>
        <v>M5</v>
      </c>
      <c r="Y4">
        <v>3</v>
      </c>
      <c r="Z4" t="str">
        <f>VLOOKUP(Y4, Lookups!$B$14:$C$21, 2, FALSE)</f>
        <v>Dual carriageway</v>
      </c>
      <c r="AA4">
        <v>70</v>
      </c>
      <c r="AB4">
        <v>-1</v>
      </c>
      <c r="AC4">
        <v>0</v>
      </c>
      <c r="AD4">
        <v>-1</v>
      </c>
      <c r="AE4">
        <v>0</v>
      </c>
      <c r="AF4">
        <v>-1</v>
      </c>
      <c r="AG4">
        <v>-1</v>
      </c>
      <c r="AH4">
        <v>-1</v>
      </c>
      <c r="AI4">
        <v>0</v>
      </c>
      <c r="AJ4">
        <v>1</v>
      </c>
      <c r="AK4" t="str">
        <f>VLOOKUP(AJ4, Lookups!$B$23:$C$28, 2, FALSE)</f>
        <v>Daylight</v>
      </c>
      <c r="AL4">
        <v>1</v>
      </c>
      <c r="AM4" t="str">
        <f>VLOOKUP(AL4, Lookups!$B$30:$C$39, 2, FALSE)</f>
        <v>Fine / Clear</v>
      </c>
      <c r="AN4">
        <v>1</v>
      </c>
      <c r="AO4" t="str">
        <f>VLOOKUP(AN4, Lookups!$B$41:$C$49, 2, FALSE)</f>
        <v>Dry</v>
      </c>
      <c r="AP4">
        <v>-1</v>
      </c>
      <c r="AQ4">
        <v>-1</v>
      </c>
      <c r="AR4">
        <v>0</v>
      </c>
      <c r="AS4">
        <v>2</v>
      </c>
      <c r="AT4">
        <v>1</v>
      </c>
      <c r="AU4">
        <v>1</v>
      </c>
      <c r="AV4" t="s">
        <v>50</v>
      </c>
      <c r="AW4">
        <v>3</v>
      </c>
      <c r="AX4">
        <v>1</v>
      </c>
      <c r="AY4">
        <v>0</v>
      </c>
      <c r="AZ4">
        <v>1</v>
      </c>
    </row>
    <row r="5" spans="1:52" x14ac:dyDescent="0.35">
      <c r="A5">
        <v>2025221665326</v>
      </c>
      <c r="B5">
        <v>2025</v>
      </c>
      <c r="C5">
        <v>221665326</v>
      </c>
      <c r="D5">
        <v>396313</v>
      </c>
      <c r="E5">
        <v>271019</v>
      </c>
      <c r="F5">
        <v>-2.0555400000000001</v>
      </c>
      <c r="G5">
        <v>52.337240000000001</v>
      </c>
      <c r="H5">
        <v>22</v>
      </c>
      <c r="I5">
        <v>3</v>
      </c>
      <c r="J5" t="str">
        <f>VLOOKUP(I5, Lookups!$B$1:$C$4, 2, FALSE)</f>
        <v>Slight</v>
      </c>
      <c r="K5">
        <v>1</v>
      </c>
      <c r="L5">
        <v>1</v>
      </c>
      <c r="M5" s="1">
        <v>45968</v>
      </c>
      <c r="N5">
        <v>6</v>
      </c>
      <c r="O5" t="str">
        <f>VLOOKUP(N5, Lookups!$B$6:$C$12, 2, FALSE)</f>
        <v>Friday</v>
      </c>
      <c r="P5" s="2">
        <v>0.3576388888888889</v>
      </c>
      <c r="Q5">
        <v>-1</v>
      </c>
      <c r="R5" t="s">
        <v>47</v>
      </c>
      <c r="S5" t="s">
        <v>45</v>
      </c>
      <c r="T5" t="s">
        <v>45</v>
      </c>
      <c r="U5">
        <v>6</v>
      </c>
      <c r="V5" t="str">
        <f>VLOOKUP(U5, Lookups!$B$51:$C$57, 2, FALSE)</f>
        <v>Unclassified</v>
      </c>
      <c r="W5">
        <v>0</v>
      </c>
      <c r="X5" t="s">
        <v>362</v>
      </c>
      <c r="Y5">
        <v>6</v>
      </c>
      <c r="Z5" t="str">
        <f>VLOOKUP(Y5, Lookups!$B$14:$C$21, 2, FALSE)</f>
        <v>Single carriageway</v>
      </c>
      <c r="AA5">
        <v>20</v>
      </c>
      <c r="AB5">
        <v>-1</v>
      </c>
      <c r="AC5">
        <v>0</v>
      </c>
      <c r="AD5">
        <v>-1</v>
      </c>
      <c r="AE5">
        <v>6</v>
      </c>
      <c r="AF5">
        <v>0</v>
      </c>
      <c r="AG5">
        <v>-1</v>
      </c>
      <c r="AH5">
        <v>-1</v>
      </c>
      <c r="AI5">
        <v>0</v>
      </c>
      <c r="AJ5">
        <v>1</v>
      </c>
      <c r="AK5" t="str">
        <f>VLOOKUP(AJ5, Lookups!$B$23:$C$28, 2, FALSE)</f>
        <v>Daylight</v>
      </c>
      <c r="AL5">
        <v>1</v>
      </c>
      <c r="AM5" t="str">
        <f>VLOOKUP(AL5, Lookups!$B$30:$C$39, 2, FALSE)</f>
        <v>Fine / Clear</v>
      </c>
      <c r="AN5">
        <v>1</v>
      </c>
      <c r="AO5" t="str">
        <f>VLOOKUP(AN5, Lookups!$B$41:$C$49, 2, FALSE)</f>
        <v>Dry</v>
      </c>
      <c r="AP5">
        <v>-1</v>
      </c>
      <c r="AQ5">
        <v>-1</v>
      </c>
      <c r="AR5">
        <v>0</v>
      </c>
      <c r="AS5">
        <v>1</v>
      </c>
      <c r="AT5">
        <v>2</v>
      </c>
      <c r="AU5">
        <v>2</v>
      </c>
      <c r="AV5" t="s">
        <v>51</v>
      </c>
      <c r="AW5">
        <v>3</v>
      </c>
      <c r="AX5">
        <v>1</v>
      </c>
      <c r="AY5">
        <v>0</v>
      </c>
      <c r="AZ5">
        <v>1</v>
      </c>
    </row>
    <row r="6" spans="1:52" x14ac:dyDescent="0.35">
      <c r="A6">
        <v>2025221547052</v>
      </c>
      <c r="B6">
        <v>2025</v>
      </c>
      <c r="C6">
        <v>221547052</v>
      </c>
      <c r="D6">
        <v>379093</v>
      </c>
      <c r="E6">
        <v>245777</v>
      </c>
      <c r="F6">
        <v>-2.3067000000000002</v>
      </c>
      <c r="G6">
        <v>52.109920000000002</v>
      </c>
      <c r="H6">
        <v>22</v>
      </c>
      <c r="I6">
        <v>3</v>
      </c>
      <c r="J6" t="str">
        <f>VLOOKUP(I6, Lookups!$B$1:$C$4, 2, FALSE)</f>
        <v>Slight</v>
      </c>
      <c r="K6">
        <v>1</v>
      </c>
      <c r="L6">
        <v>1</v>
      </c>
      <c r="M6" s="1">
        <v>45683</v>
      </c>
      <c r="N6">
        <v>1</v>
      </c>
      <c r="O6" t="str">
        <f>VLOOKUP(N6, Lookups!$B$6:$C$12, 2, FALSE)</f>
        <v>Sunday</v>
      </c>
      <c r="P6" s="2">
        <v>0.30902777777777779</v>
      </c>
      <c r="Q6">
        <v>-1</v>
      </c>
      <c r="R6" t="s">
        <v>49</v>
      </c>
      <c r="S6" t="s">
        <v>45</v>
      </c>
      <c r="T6" t="s">
        <v>45</v>
      </c>
      <c r="U6">
        <v>6</v>
      </c>
      <c r="V6" t="str">
        <f>VLOOKUP(U6, Lookups!$B$51:$C$57, 2, FALSE)</f>
        <v>Unclassified</v>
      </c>
      <c r="W6">
        <v>0</v>
      </c>
      <c r="X6" t="s">
        <v>362</v>
      </c>
      <c r="Y6">
        <v>6</v>
      </c>
      <c r="Z6" t="str">
        <f>VLOOKUP(Y6, Lookups!$B$14:$C$21, 2, FALSE)</f>
        <v>Single carriageway</v>
      </c>
      <c r="AA6">
        <v>30</v>
      </c>
      <c r="AB6">
        <v>-1</v>
      </c>
      <c r="AC6">
        <v>0</v>
      </c>
      <c r="AD6">
        <v>-1</v>
      </c>
      <c r="AE6">
        <v>6</v>
      </c>
      <c r="AF6">
        <v>0</v>
      </c>
      <c r="AG6">
        <v>-1</v>
      </c>
      <c r="AH6">
        <v>-1</v>
      </c>
      <c r="AI6">
        <v>0</v>
      </c>
      <c r="AJ6">
        <v>1</v>
      </c>
      <c r="AK6" t="str">
        <f>VLOOKUP(AJ6, Lookups!$B$23:$C$28, 2, FALSE)</f>
        <v>Daylight</v>
      </c>
      <c r="AL6">
        <v>1</v>
      </c>
      <c r="AM6" t="str">
        <f>VLOOKUP(AL6, Lookups!$B$30:$C$39, 2, FALSE)</f>
        <v>Fine / Clear</v>
      </c>
      <c r="AN6">
        <v>4</v>
      </c>
      <c r="AO6" t="str">
        <f>VLOOKUP(AN6, Lookups!$B$41:$C$49, 2, FALSE)</f>
        <v>Frost or ice</v>
      </c>
      <c r="AP6">
        <v>-1</v>
      </c>
      <c r="AQ6">
        <v>-1</v>
      </c>
      <c r="AR6">
        <v>21</v>
      </c>
      <c r="AS6">
        <v>1</v>
      </c>
      <c r="AT6">
        <v>1</v>
      </c>
      <c r="AU6">
        <v>2</v>
      </c>
      <c r="AV6" t="s">
        <v>52</v>
      </c>
      <c r="AW6">
        <v>3</v>
      </c>
      <c r="AX6">
        <v>1</v>
      </c>
      <c r="AY6">
        <v>0</v>
      </c>
      <c r="AZ6">
        <v>1</v>
      </c>
    </row>
    <row r="7" spans="1:52" x14ac:dyDescent="0.35">
      <c r="A7">
        <v>2025221580738</v>
      </c>
      <c r="B7">
        <v>2025</v>
      </c>
      <c r="C7">
        <v>221580738</v>
      </c>
      <c r="D7">
        <v>391101</v>
      </c>
      <c r="E7">
        <v>276898</v>
      </c>
      <c r="F7">
        <v>-2.13219</v>
      </c>
      <c r="G7">
        <v>52.390030000000003</v>
      </c>
      <c r="H7">
        <v>22</v>
      </c>
      <c r="I7">
        <v>3</v>
      </c>
      <c r="J7" t="str">
        <f>VLOOKUP(I7, Lookups!$B$1:$C$4, 2, FALSE)</f>
        <v>Slight</v>
      </c>
      <c r="K7">
        <v>1</v>
      </c>
      <c r="L7">
        <v>4</v>
      </c>
      <c r="M7" s="1">
        <v>45768</v>
      </c>
      <c r="N7">
        <v>2</v>
      </c>
      <c r="O7" t="str">
        <f>VLOOKUP(N7, Lookups!$B$6:$C$12, 2, FALSE)</f>
        <v>Monday</v>
      </c>
      <c r="P7" s="2">
        <v>0.80555555555555558</v>
      </c>
      <c r="Q7">
        <v>-1</v>
      </c>
      <c r="R7" t="s">
        <v>47</v>
      </c>
      <c r="S7" t="s">
        <v>45</v>
      </c>
      <c r="T7" t="s">
        <v>45</v>
      </c>
      <c r="U7">
        <v>6</v>
      </c>
      <c r="V7" t="str">
        <f>VLOOKUP(U7, Lookups!$B$51:$C$57, 2, FALSE)</f>
        <v>Unclassified</v>
      </c>
      <c r="W7">
        <v>0</v>
      </c>
      <c r="X7" t="s">
        <v>362</v>
      </c>
      <c r="Y7">
        <v>6</v>
      </c>
      <c r="Z7" t="str">
        <f>VLOOKUP(Y7, Lookups!$B$14:$C$21, 2, FALSE)</f>
        <v>Single carriageway</v>
      </c>
      <c r="AA7">
        <v>60</v>
      </c>
      <c r="AB7">
        <v>-1</v>
      </c>
      <c r="AC7">
        <v>0</v>
      </c>
      <c r="AD7">
        <v>-1</v>
      </c>
      <c r="AE7">
        <v>0</v>
      </c>
      <c r="AF7">
        <v>-1</v>
      </c>
      <c r="AG7">
        <v>-1</v>
      </c>
      <c r="AH7">
        <v>-1</v>
      </c>
      <c r="AI7">
        <v>0</v>
      </c>
      <c r="AJ7">
        <v>1</v>
      </c>
      <c r="AK7" t="str">
        <f>VLOOKUP(AJ7, Lookups!$B$23:$C$28, 2, FALSE)</f>
        <v>Daylight</v>
      </c>
      <c r="AL7">
        <v>1</v>
      </c>
      <c r="AM7" t="str">
        <f>VLOOKUP(AL7, Lookups!$B$30:$C$39, 2, FALSE)</f>
        <v>Fine / Clear</v>
      </c>
      <c r="AN7">
        <v>2</v>
      </c>
      <c r="AO7" t="str">
        <f>VLOOKUP(AN7, Lookups!$B$41:$C$49, 2, FALSE)</f>
        <v>Wet / damp</v>
      </c>
      <c r="AP7">
        <v>-1</v>
      </c>
      <c r="AQ7">
        <v>-1</v>
      </c>
      <c r="AR7">
        <v>0</v>
      </c>
      <c r="AS7">
        <v>2</v>
      </c>
      <c r="AT7">
        <v>1</v>
      </c>
      <c r="AU7">
        <v>2</v>
      </c>
      <c r="AV7" t="s">
        <v>53</v>
      </c>
      <c r="AW7">
        <v>3</v>
      </c>
      <c r="AX7">
        <v>1</v>
      </c>
      <c r="AY7">
        <v>0</v>
      </c>
      <c r="AZ7">
        <v>1</v>
      </c>
    </row>
    <row r="8" spans="1:52" x14ac:dyDescent="0.35">
      <c r="A8">
        <v>2025221628403</v>
      </c>
      <c r="B8">
        <v>2025</v>
      </c>
      <c r="C8">
        <v>221628403</v>
      </c>
      <c r="D8">
        <v>388372</v>
      </c>
      <c r="E8">
        <v>253896</v>
      </c>
      <c r="F8">
        <v>-2.1714899999999999</v>
      </c>
      <c r="G8">
        <v>52.183190000000003</v>
      </c>
      <c r="H8">
        <v>22</v>
      </c>
      <c r="I8">
        <v>3</v>
      </c>
      <c r="J8" t="str">
        <f>VLOOKUP(I8, Lookups!$B$1:$C$4, 2, FALSE)</f>
        <v>Slight</v>
      </c>
      <c r="K8">
        <v>2</v>
      </c>
      <c r="L8">
        <v>1</v>
      </c>
      <c r="M8" s="1">
        <v>45879</v>
      </c>
      <c r="N8">
        <v>1</v>
      </c>
      <c r="O8" t="str">
        <f>VLOOKUP(N8, Lookups!$B$6:$C$12, 2, FALSE)</f>
        <v>Sunday</v>
      </c>
      <c r="P8" s="2">
        <v>0.51736111111111116</v>
      </c>
      <c r="Q8">
        <v>-1</v>
      </c>
      <c r="R8" t="s">
        <v>54</v>
      </c>
      <c r="S8" t="s">
        <v>45</v>
      </c>
      <c r="T8" t="s">
        <v>45</v>
      </c>
      <c r="U8">
        <v>1</v>
      </c>
      <c r="V8" t="str">
        <f>VLOOKUP(U8, Lookups!$B$51:$C$57, 2, FALSE)</f>
        <v>M</v>
      </c>
      <c r="W8">
        <v>5</v>
      </c>
      <c r="X8" t="str">
        <f t="shared" ref="X8:X9" si="1">V8&amp;W8</f>
        <v>M5</v>
      </c>
      <c r="Y8">
        <v>3</v>
      </c>
      <c r="Z8" t="str">
        <f>VLOOKUP(Y8, Lookups!$B$14:$C$21, 2, FALSE)</f>
        <v>Dual carriageway</v>
      </c>
      <c r="AA8">
        <v>70</v>
      </c>
      <c r="AB8">
        <v>-1</v>
      </c>
      <c r="AC8">
        <v>0</v>
      </c>
      <c r="AD8">
        <v>-1</v>
      </c>
      <c r="AE8">
        <v>0</v>
      </c>
      <c r="AF8">
        <v>-1</v>
      </c>
      <c r="AG8">
        <v>-1</v>
      </c>
      <c r="AH8">
        <v>-1</v>
      </c>
      <c r="AI8">
        <v>0</v>
      </c>
      <c r="AJ8">
        <v>1</v>
      </c>
      <c r="AK8" t="str">
        <f>VLOOKUP(AJ8, Lookups!$B$23:$C$28, 2, FALSE)</f>
        <v>Daylight</v>
      </c>
      <c r="AL8">
        <v>1</v>
      </c>
      <c r="AM8" t="str">
        <f>VLOOKUP(AL8, Lookups!$B$30:$C$39, 2, FALSE)</f>
        <v>Fine / Clear</v>
      </c>
      <c r="AN8">
        <v>1</v>
      </c>
      <c r="AO8" t="str">
        <f>VLOOKUP(AN8, Lookups!$B$41:$C$49, 2, FALSE)</f>
        <v>Dry</v>
      </c>
      <c r="AP8">
        <v>-1</v>
      </c>
      <c r="AQ8">
        <v>-1</v>
      </c>
      <c r="AR8">
        <v>0</v>
      </c>
      <c r="AS8">
        <v>2</v>
      </c>
      <c r="AT8">
        <v>1</v>
      </c>
      <c r="AU8">
        <v>1</v>
      </c>
      <c r="AV8" t="s">
        <v>55</v>
      </c>
      <c r="AW8">
        <v>3</v>
      </c>
      <c r="AX8">
        <v>1</v>
      </c>
      <c r="AY8">
        <v>0</v>
      </c>
      <c r="AZ8">
        <v>1</v>
      </c>
    </row>
    <row r="9" spans="1:52" x14ac:dyDescent="0.35">
      <c r="A9">
        <v>2025221543697</v>
      </c>
      <c r="B9">
        <v>2025</v>
      </c>
      <c r="C9">
        <v>221543697</v>
      </c>
      <c r="D9">
        <v>399672</v>
      </c>
      <c r="E9">
        <v>269444</v>
      </c>
      <c r="F9">
        <v>-2.00623</v>
      </c>
      <c r="G9">
        <v>52.323090000000001</v>
      </c>
      <c r="H9">
        <v>22</v>
      </c>
      <c r="I9">
        <v>3</v>
      </c>
      <c r="J9" t="str">
        <f>VLOOKUP(I9, Lookups!$B$1:$C$4, 2, FALSE)</f>
        <v>Slight</v>
      </c>
      <c r="K9">
        <v>1</v>
      </c>
      <c r="L9">
        <v>1</v>
      </c>
      <c r="M9" s="1">
        <v>45676</v>
      </c>
      <c r="N9">
        <v>1</v>
      </c>
      <c r="O9" t="str">
        <f>VLOOKUP(N9, Lookups!$B$6:$C$12, 2, FALSE)</f>
        <v>Sunday</v>
      </c>
      <c r="P9" s="2">
        <v>0.55486111111111114</v>
      </c>
      <c r="Q9">
        <v>-1</v>
      </c>
      <c r="R9" t="s">
        <v>47</v>
      </c>
      <c r="S9" t="s">
        <v>45</v>
      </c>
      <c r="T9" t="s">
        <v>45</v>
      </c>
      <c r="U9">
        <v>3</v>
      </c>
      <c r="V9" t="str">
        <f>VLOOKUP(U9, Lookups!$B$51:$C$57, 2, FALSE)</f>
        <v>A</v>
      </c>
      <c r="W9">
        <v>448</v>
      </c>
      <c r="X9" t="str">
        <f t="shared" si="1"/>
        <v>A448</v>
      </c>
      <c r="Y9">
        <v>3</v>
      </c>
      <c r="Z9" t="str">
        <f>VLOOKUP(Y9, Lookups!$B$14:$C$21, 2, FALSE)</f>
        <v>Dual carriageway</v>
      </c>
      <c r="AA9">
        <v>70</v>
      </c>
      <c r="AB9">
        <v>-1</v>
      </c>
      <c r="AC9">
        <v>0</v>
      </c>
      <c r="AD9">
        <v>-1</v>
      </c>
      <c r="AE9">
        <v>0</v>
      </c>
      <c r="AF9">
        <v>-1</v>
      </c>
      <c r="AG9">
        <v>-1</v>
      </c>
      <c r="AH9">
        <v>-1</v>
      </c>
      <c r="AI9">
        <v>0</v>
      </c>
      <c r="AJ9">
        <v>1</v>
      </c>
      <c r="AK9" t="str">
        <f>VLOOKUP(AJ9, Lookups!$B$23:$C$28, 2, FALSE)</f>
        <v>Daylight</v>
      </c>
      <c r="AL9">
        <v>1</v>
      </c>
      <c r="AM9" t="str">
        <f>VLOOKUP(AL9, Lookups!$B$30:$C$39, 2, FALSE)</f>
        <v>Fine / Clear</v>
      </c>
      <c r="AN9">
        <v>1</v>
      </c>
      <c r="AO9" t="str">
        <f>VLOOKUP(AN9, Lookups!$B$41:$C$49, 2, FALSE)</f>
        <v>Dry</v>
      </c>
      <c r="AP9">
        <v>-1</v>
      </c>
      <c r="AQ9">
        <v>-1</v>
      </c>
      <c r="AR9">
        <v>20</v>
      </c>
      <c r="AS9">
        <v>2</v>
      </c>
      <c r="AT9">
        <v>1</v>
      </c>
      <c r="AU9">
        <v>2</v>
      </c>
      <c r="AV9" t="s">
        <v>56</v>
      </c>
      <c r="AW9">
        <v>3</v>
      </c>
      <c r="AX9">
        <v>1</v>
      </c>
      <c r="AY9">
        <v>0</v>
      </c>
      <c r="AZ9">
        <v>1</v>
      </c>
    </row>
    <row r="10" spans="1:52" x14ac:dyDescent="0.35">
      <c r="A10">
        <v>2025221572374</v>
      </c>
      <c r="B10">
        <v>2025</v>
      </c>
      <c r="C10">
        <v>221572374</v>
      </c>
      <c r="D10">
        <v>381653</v>
      </c>
      <c r="E10">
        <v>270783</v>
      </c>
      <c r="F10">
        <v>-2.27068</v>
      </c>
      <c r="G10">
        <v>52.334820000000001</v>
      </c>
      <c r="H10">
        <v>22</v>
      </c>
      <c r="I10">
        <v>3</v>
      </c>
      <c r="J10" t="str">
        <f>VLOOKUP(I10, Lookups!$B$1:$C$4, 2, FALSE)</f>
        <v>Slight</v>
      </c>
      <c r="K10">
        <v>2</v>
      </c>
      <c r="L10">
        <v>1</v>
      </c>
      <c r="M10" s="1">
        <v>45747</v>
      </c>
      <c r="N10">
        <v>2</v>
      </c>
      <c r="O10" t="str">
        <f>VLOOKUP(N10, Lookups!$B$6:$C$12, 2, FALSE)</f>
        <v>Monday</v>
      </c>
      <c r="P10" s="2">
        <v>0.57986111111111116</v>
      </c>
      <c r="Q10">
        <v>-1</v>
      </c>
      <c r="R10" t="s">
        <v>44</v>
      </c>
      <c r="S10" t="s">
        <v>45</v>
      </c>
      <c r="T10" t="s">
        <v>45</v>
      </c>
      <c r="U10">
        <v>6</v>
      </c>
      <c r="V10" t="str">
        <f>VLOOKUP(U10, Lookups!$B$51:$C$57, 2, FALSE)</f>
        <v>Unclassified</v>
      </c>
      <c r="W10">
        <v>0</v>
      </c>
      <c r="X10" t="s">
        <v>362</v>
      </c>
      <c r="Y10">
        <v>6</v>
      </c>
      <c r="Z10" t="str">
        <f>VLOOKUP(Y10, Lookups!$B$14:$C$21, 2, FALSE)</f>
        <v>Single carriageway</v>
      </c>
      <c r="AA10">
        <v>30</v>
      </c>
      <c r="AB10">
        <v>-1</v>
      </c>
      <c r="AC10">
        <v>19</v>
      </c>
      <c r="AD10">
        <v>4</v>
      </c>
      <c r="AE10">
        <v>6</v>
      </c>
      <c r="AF10">
        <v>0</v>
      </c>
      <c r="AG10">
        <v>-1</v>
      </c>
      <c r="AH10">
        <v>-1</v>
      </c>
      <c r="AI10">
        <v>0</v>
      </c>
      <c r="AJ10">
        <v>1</v>
      </c>
      <c r="AK10" t="str">
        <f>VLOOKUP(AJ10, Lookups!$B$23:$C$28, 2, FALSE)</f>
        <v>Daylight</v>
      </c>
      <c r="AL10">
        <v>1</v>
      </c>
      <c r="AM10" t="str">
        <f>VLOOKUP(AL10, Lookups!$B$30:$C$39, 2, FALSE)</f>
        <v>Fine / Clear</v>
      </c>
      <c r="AN10">
        <v>1</v>
      </c>
      <c r="AO10" t="str">
        <f>VLOOKUP(AN10, Lookups!$B$41:$C$49, 2, FALSE)</f>
        <v>Dry</v>
      </c>
      <c r="AP10">
        <v>-1</v>
      </c>
      <c r="AQ10">
        <v>-1</v>
      </c>
      <c r="AR10">
        <v>0</v>
      </c>
      <c r="AS10">
        <v>1</v>
      </c>
      <c r="AT10">
        <v>1</v>
      </c>
      <c r="AU10">
        <v>2</v>
      </c>
      <c r="AV10" t="s">
        <v>57</v>
      </c>
      <c r="AW10">
        <v>3</v>
      </c>
      <c r="AX10">
        <v>1</v>
      </c>
      <c r="AY10">
        <v>0</v>
      </c>
      <c r="AZ10">
        <v>1</v>
      </c>
    </row>
    <row r="11" spans="1:52" x14ac:dyDescent="0.35">
      <c r="A11">
        <v>2025221594672</v>
      </c>
      <c r="B11">
        <v>2025</v>
      </c>
      <c r="C11">
        <v>221594672</v>
      </c>
      <c r="D11">
        <v>404041</v>
      </c>
      <c r="E11">
        <v>247311</v>
      </c>
      <c r="F11">
        <v>-1.9423900000000001</v>
      </c>
      <c r="G11">
        <v>52.124099999999999</v>
      </c>
      <c r="H11">
        <v>22</v>
      </c>
      <c r="I11">
        <v>1</v>
      </c>
      <c r="J11" t="str">
        <f>VLOOKUP(I11, Lookups!$B$1:$C$4, 2, FALSE)</f>
        <v>Fatal</v>
      </c>
      <c r="K11">
        <v>4</v>
      </c>
      <c r="L11">
        <v>3</v>
      </c>
      <c r="M11" s="1">
        <v>45802</v>
      </c>
      <c r="N11">
        <v>1</v>
      </c>
      <c r="O11" t="str">
        <f>VLOOKUP(N11, Lookups!$B$6:$C$12, 2, FALSE)</f>
        <v>Sunday</v>
      </c>
      <c r="P11" s="2">
        <v>0.70208333333333328</v>
      </c>
      <c r="Q11">
        <v>-1</v>
      </c>
      <c r="R11" t="s">
        <v>54</v>
      </c>
      <c r="S11" t="s">
        <v>45</v>
      </c>
      <c r="T11" t="s">
        <v>45</v>
      </c>
      <c r="U11">
        <v>4</v>
      </c>
      <c r="V11" t="str">
        <f>VLOOKUP(U11, Lookups!$B$51:$C$57, 2, FALSE)</f>
        <v>B</v>
      </c>
      <c r="W11">
        <v>4088</v>
      </c>
      <c r="X11" t="str">
        <f>V11&amp;W11</f>
        <v>B4088</v>
      </c>
      <c r="Y11">
        <v>6</v>
      </c>
      <c r="Z11" t="str">
        <f>VLOOKUP(Y11, Lookups!$B$14:$C$21, 2, FALSE)</f>
        <v>Single carriageway</v>
      </c>
      <c r="AA11">
        <v>50</v>
      </c>
      <c r="AB11">
        <v>-1</v>
      </c>
      <c r="AC11">
        <v>13</v>
      </c>
      <c r="AD11">
        <v>4</v>
      </c>
      <c r="AE11">
        <v>6</v>
      </c>
      <c r="AF11">
        <v>0</v>
      </c>
      <c r="AG11">
        <v>-1</v>
      </c>
      <c r="AH11">
        <v>-1</v>
      </c>
      <c r="AI11">
        <v>0</v>
      </c>
      <c r="AJ11">
        <v>1</v>
      </c>
      <c r="AK11" t="str">
        <f>VLOOKUP(AJ11, Lookups!$B$23:$C$28, 2, FALSE)</f>
        <v>Daylight</v>
      </c>
      <c r="AL11">
        <v>1</v>
      </c>
      <c r="AM11" t="str">
        <f>VLOOKUP(AL11, Lookups!$B$30:$C$39, 2, FALSE)</f>
        <v>Fine / Clear</v>
      </c>
      <c r="AN11">
        <v>1</v>
      </c>
      <c r="AO11" t="str">
        <f>VLOOKUP(AN11, Lookups!$B$41:$C$49, 2, FALSE)</f>
        <v>Dry</v>
      </c>
      <c r="AP11">
        <v>-1</v>
      </c>
      <c r="AQ11">
        <v>-1</v>
      </c>
      <c r="AR11">
        <v>0</v>
      </c>
      <c r="AS11">
        <v>2</v>
      </c>
      <c r="AT11">
        <v>1</v>
      </c>
      <c r="AU11">
        <v>2</v>
      </c>
      <c r="AV11" t="s">
        <v>58</v>
      </c>
      <c r="AW11">
        <v>1</v>
      </c>
      <c r="AX11">
        <v>1</v>
      </c>
      <c r="AY11">
        <v>0</v>
      </c>
      <c r="AZ11">
        <v>0</v>
      </c>
    </row>
    <row r="12" spans="1:52" x14ac:dyDescent="0.35">
      <c r="A12">
        <v>2025221615699</v>
      </c>
      <c r="B12">
        <v>2025</v>
      </c>
      <c r="C12">
        <v>221615699</v>
      </c>
      <c r="D12">
        <v>382081</v>
      </c>
      <c r="E12">
        <v>275053</v>
      </c>
      <c r="F12">
        <v>-2.2646299999999999</v>
      </c>
      <c r="G12">
        <v>52.373220000000003</v>
      </c>
      <c r="H12">
        <v>22</v>
      </c>
      <c r="I12">
        <v>3</v>
      </c>
      <c r="J12" t="str">
        <f>VLOOKUP(I12, Lookups!$B$1:$C$4, 2, FALSE)</f>
        <v>Slight</v>
      </c>
      <c r="K12">
        <v>1</v>
      </c>
      <c r="L12">
        <v>1</v>
      </c>
      <c r="M12" s="1">
        <v>45838</v>
      </c>
      <c r="N12">
        <v>2</v>
      </c>
      <c r="O12" t="str">
        <f>VLOOKUP(N12, Lookups!$B$6:$C$12, 2, FALSE)</f>
        <v>Monday</v>
      </c>
      <c r="P12" s="2">
        <v>0.47916666666666669</v>
      </c>
      <c r="Q12">
        <v>-1</v>
      </c>
      <c r="R12" t="s">
        <v>44</v>
      </c>
      <c r="S12" t="s">
        <v>45</v>
      </c>
      <c r="T12" t="s">
        <v>45</v>
      </c>
      <c r="U12">
        <v>6</v>
      </c>
      <c r="V12" t="str">
        <f>VLOOKUP(U12, Lookups!$B$51:$C$57, 2, FALSE)</f>
        <v>Unclassified</v>
      </c>
      <c r="W12">
        <v>0</v>
      </c>
      <c r="X12" t="s">
        <v>362</v>
      </c>
      <c r="Y12">
        <v>6</v>
      </c>
      <c r="Z12" t="str">
        <f>VLOOKUP(Y12, Lookups!$B$14:$C$21, 2, FALSE)</f>
        <v>Single carriageway</v>
      </c>
      <c r="AA12">
        <v>30</v>
      </c>
      <c r="AB12">
        <v>-1</v>
      </c>
      <c r="AC12">
        <v>0</v>
      </c>
      <c r="AD12">
        <v>-1</v>
      </c>
      <c r="AE12">
        <v>0</v>
      </c>
      <c r="AF12">
        <v>-1</v>
      </c>
      <c r="AG12">
        <v>-1</v>
      </c>
      <c r="AH12">
        <v>-1</v>
      </c>
      <c r="AI12">
        <v>0</v>
      </c>
      <c r="AJ12">
        <v>1</v>
      </c>
      <c r="AK12" t="str">
        <f>VLOOKUP(AJ12, Lookups!$B$23:$C$28, 2, FALSE)</f>
        <v>Daylight</v>
      </c>
      <c r="AL12">
        <v>1</v>
      </c>
      <c r="AM12" t="str">
        <f>VLOOKUP(AL12, Lookups!$B$30:$C$39, 2, FALSE)</f>
        <v>Fine / Clear</v>
      </c>
      <c r="AN12">
        <v>1</v>
      </c>
      <c r="AO12" t="str">
        <f>VLOOKUP(AN12, Lookups!$B$41:$C$49, 2, FALSE)</f>
        <v>Dry</v>
      </c>
      <c r="AP12">
        <v>-1</v>
      </c>
      <c r="AQ12">
        <v>-1</v>
      </c>
      <c r="AR12">
        <v>0</v>
      </c>
      <c r="AS12">
        <v>1</v>
      </c>
      <c r="AT12">
        <v>2</v>
      </c>
      <c r="AU12">
        <v>2</v>
      </c>
      <c r="AV12" t="s">
        <v>59</v>
      </c>
      <c r="AW12">
        <v>3</v>
      </c>
      <c r="AX12">
        <v>1</v>
      </c>
      <c r="AY12">
        <v>0</v>
      </c>
      <c r="AZ12">
        <v>1</v>
      </c>
    </row>
    <row r="13" spans="1:52" x14ac:dyDescent="0.35">
      <c r="A13">
        <v>2025221615363</v>
      </c>
      <c r="B13">
        <v>2025</v>
      </c>
      <c r="C13">
        <v>221615363</v>
      </c>
      <c r="D13">
        <v>384918</v>
      </c>
      <c r="E13">
        <v>255263</v>
      </c>
      <c r="F13">
        <v>-2.22207</v>
      </c>
      <c r="G13">
        <v>52.195390000000003</v>
      </c>
      <c r="H13">
        <v>22</v>
      </c>
      <c r="I13">
        <v>3</v>
      </c>
      <c r="J13" t="str">
        <f>VLOOKUP(I13, Lookups!$B$1:$C$4, 2, FALSE)</f>
        <v>Slight</v>
      </c>
      <c r="K13">
        <v>2</v>
      </c>
      <c r="L13">
        <v>1</v>
      </c>
      <c r="M13" s="1">
        <v>45851</v>
      </c>
      <c r="N13">
        <v>1</v>
      </c>
      <c r="O13" t="str">
        <f>VLOOKUP(N13, Lookups!$B$6:$C$12, 2, FALSE)</f>
        <v>Sunday</v>
      </c>
      <c r="P13" s="2">
        <v>0.36805555555555558</v>
      </c>
      <c r="Q13">
        <v>-1</v>
      </c>
      <c r="R13" t="s">
        <v>60</v>
      </c>
      <c r="S13" t="s">
        <v>45</v>
      </c>
      <c r="T13" t="s">
        <v>45</v>
      </c>
      <c r="U13">
        <v>3</v>
      </c>
      <c r="V13" t="str">
        <f>VLOOKUP(U13, Lookups!$B$51:$C$57, 2, FALSE)</f>
        <v>A</v>
      </c>
      <c r="W13">
        <v>38</v>
      </c>
      <c r="X13" t="str">
        <f t="shared" ref="X13:X15" si="2">V13&amp;W13</f>
        <v>A38</v>
      </c>
      <c r="Y13">
        <v>6</v>
      </c>
      <c r="Z13" t="str">
        <f>VLOOKUP(Y13, Lookups!$B$14:$C$21, 2, FALSE)</f>
        <v>Single carriageway</v>
      </c>
      <c r="AA13">
        <v>30</v>
      </c>
      <c r="AB13">
        <v>-1</v>
      </c>
      <c r="AC13">
        <v>13</v>
      </c>
      <c r="AD13">
        <v>4</v>
      </c>
      <c r="AE13">
        <v>6</v>
      </c>
      <c r="AF13">
        <v>0</v>
      </c>
      <c r="AG13">
        <v>-1</v>
      </c>
      <c r="AH13">
        <v>-1</v>
      </c>
      <c r="AI13">
        <v>14</v>
      </c>
      <c r="AJ13">
        <v>1</v>
      </c>
      <c r="AK13" t="str">
        <f>VLOOKUP(AJ13, Lookups!$B$23:$C$28, 2, FALSE)</f>
        <v>Daylight</v>
      </c>
      <c r="AL13">
        <v>1</v>
      </c>
      <c r="AM13" t="str">
        <f>VLOOKUP(AL13, Lookups!$B$30:$C$39, 2, FALSE)</f>
        <v>Fine / Clear</v>
      </c>
      <c r="AN13">
        <v>1</v>
      </c>
      <c r="AO13" t="str">
        <f>VLOOKUP(AN13, Lookups!$B$41:$C$49, 2, FALSE)</f>
        <v>Dry</v>
      </c>
      <c r="AP13">
        <v>-1</v>
      </c>
      <c r="AQ13">
        <v>-1</v>
      </c>
      <c r="AR13">
        <v>0</v>
      </c>
      <c r="AS13">
        <v>1</v>
      </c>
      <c r="AT13">
        <v>3</v>
      </c>
      <c r="AU13">
        <v>2</v>
      </c>
      <c r="AV13" t="s">
        <v>61</v>
      </c>
      <c r="AW13">
        <v>3</v>
      </c>
      <c r="AX13">
        <v>1</v>
      </c>
      <c r="AY13">
        <v>0</v>
      </c>
      <c r="AZ13">
        <v>1</v>
      </c>
    </row>
    <row r="14" spans="1:52" x14ac:dyDescent="0.35">
      <c r="A14">
        <v>2025221640829</v>
      </c>
      <c r="B14">
        <v>2025</v>
      </c>
      <c r="C14">
        <v>221640829</v>
      </c>
      <c r="D14">
        <v>381348</v>
      </c>
      <c r="E14">
        <v>256866</v>
      </c>
      <c r="F14">
        <v>-2.2743799999999998</v>
      </c>
      <c r="G14">
        <v>52.209699999999998</v>
      </c>
      <c r="H14">
        <v>22</v>
      </c>
      <c r="I14">
        <v>3</v>
      </c>
      <c r="J14" t="str">
        <f>VLOOKUP(I14, Lookups!$B$1:$C$4, 2, FALSE)</f>
        <v>Slight</v>
      </c>
      <c r="K14">
        <v>4</v>
      </c>
      <c r="L14">
        <v>4</v>
      </c>
      <c r="M14" s="1">
        <v>45912</v>
      </c>
      <c r="N14">
        <v>6</v>
      </c>
      <c r="O14" t="str">
        <f>VLOOKUP(N14, Lookups!$B$6:$C$12, 2, FALSE)</f>
        <v>Friday</v>
      </c>
      <c r="P14" s="2">
        <v>0.61319444444444449</v>
      </c>
      <c r="Q14">
        <v>-1</v>
      </c>
      <c r="R14" t="s">
        <v>49</v>
      </c>
      <c r="S14" t="s">
        <v>45</v>
      </c>
      <c r="T14" t="s">
        <v>45</v>
      </c>
      <c r="U14">
        <v>4</v>
      </c>
      <c r="V14" t="str">
        <f>VLOOKUP(U14, Lookups!$B$51:$C$57, 2, FALSE)</f>
        <v>B</v>
      </c>
      <c r="W14">
        <v>4204</v>
      </c>
      <c r="X14" t="str">
        <f t="shared" si="2"/>
        <v>B4204</v>
      </c>
      <c r="Y14">
        <v>6</v>
      </c>
      <c r="Z14" t="str">
        <f>VLOOKUP(Y14, Lookups!$B$14:$C$21, 2, FALSE)</f>
        <v>Single carriageway</v>
      </c>
      <c r="AA14">
        <v>30</v>
      </c>
      <c r="AB14">
        <v>-1</v>
      </c>
      <c r="AC14">
        <v>13</v>
      </c>
      <c r="AD14">
        <v>4</v>
      </c>
      <c r="AE14">
        <v>6</v>
      </c>
      <c r="AF14">
        <v>0</v>
      </c>
      <c r="AG14">
        <v>-1</v>
      </c>
      <c r="AH14">
        <v>-1</v>
      </c>
      <c r="AI14">
        <v>0</v>
      </c>
      <c r="AJ14">
        <v>1</v>
      </c>
      <c r="AK14" t="str">
        <f>VLOOKUP(AJ14, Lookups!$B$23:$C$28, 2, FALSE)</f>
        <v>Daylight</v>
      </c>
      <c r="AL14">
        <v>2</v>
      </c>
      <c r="AM14" t="str">
        <f>VLOOKUP(AL14, Lookups!$B$30:$C$39, 2, FALSE)</f>
        <v>Rain</v>
      </c>
      <c r="AN14">
        <v>2</v>
      </c>
      <c r="AO14" t="str">
        <f>VLOOKUP(AN14, Lookups!$B$41:$C$49, 2, FALSE)</f>
        <v>Wet / damp</v>
      </c>
      <c r="AP14">
        <v>-1</v>
      </c>
      <c r="AQ14">
        <v>-1</v>
      </c>
      <c r="AR14">
        <v>0</v>
      </c>
      <c r="AS14">
        <v>2</v>
      </c>
      <c r="AT14">
        <v>1</v>
      </c>
      <c r="AU14">
        <v>2</v>
      </c>
      <c r="AV14" t="s">
        <v>62</v>
      </c>
      <c r="AW14">
        <v>3</v>
      </c>
      <c r="AX14">
        <v>1</v>
      </c>
      <c r="AY14">
        <v>0</v>
      </c>
      <c r="AZ14">
        <v>1</v>
      </c>
    </row>
    <row r="15" spans="1:52" x14ac:dyDescent="0.35">
      <c r="A15">
        <v>2025221648659</v>
      </c>
      <c r="B15">
        <v>2025</v>
      </c>
      <c r="C15">
        <v>221648659</v>
      </c>
      <c r="D15">
        <v>381950</v>
      </c>
      <c r="E15">
        <v>273954</v>
      </c>
      <c r="F15">
        <v>-2.2664900000000001</v>
      </c>
      <c r="G15">
        <v>52.363340000000001</v>
      </c>
      <c r="H15">
        <v>22</v>
      </c>
      <c r="I15">
        <v>3</v>
      </c>
      <c r="J15" t="str">
        <f>VLOOKUP(I15, Lookups!$B$1:$C$4, 2, FALSE)</f>
        <v>Slight</v>
      </c>
      <c r="K15">
        <v>2</v>
      </c>
      <c r="L15">
        <v>2</v>
      </c>
      <c r="M15" s="1">
        <v>45930</v>
      </c>
      <c r="N15">
        <v>3</v>
      </c>
      <c r="O15" t="str">
        <f>VLOOKUP(N15, Lookups!$B$6:$C$12, 2, FALSE)</f>
        <v>Tuesday</v>
      </c>
      <c r="P15" s="2">
        <v>0.45833333333333331</v>
      </c>
      <c r="Q15">
        <v>-1</v>
      </c>
      <c r="R15" t="s">
        <v>44</v>
      </c>
      <c r="S15" t="s">
        <v>45</v>
      </c>
      <c r="T15" t="s">
        <v>45</v>
      </c>
      <c r="U15">
        <v>3</v>
      </c>
      <c r="V15" t="str">
        <f>VLOOKUP(U15, Lookups!$B$51:$C$57, 2, FALSE)</f>
        <v>A</v>
      </c>
      <c r="W15">
        <v>451</v>
      </c>
      <c r="X15" t="str">
        <f t="shared" si="2"/>
        <v>A451</v>
      </c>
      <c r="Y15">
        <v>6</v>
      </c>
      <c r="Z15" t="str">
        <f>VLOOKUP(Y15, Lookups!$B$14:$C$21, 2, FALSE)</f>
        <v>Single carriageway</v>
      </c>
      <c r="AA15">
        <v>30</v>
      </c>
      <c r="AB15">
        <v>-1</v>
      </c>
      <c r="AC15">
        <v>13</v>
      </c>
      <c r="AD15">
        <v>2</v>
      </c>
      <c r="AE15">
        <v>6</v>
      </c>
      <c r="AF15">
        <v>0</v>
      </c>
      <c r="AG15">
        <v>-1</v>
      </c>
      <c r="AH15">
        <v>-1</v>
      </c>
      <c r="AI15">
        <v>15</v>
      </c>
      <c r="AJ15">
        <v>1</v>
      </c>
      <c r="AK15" t="str">
        <f>VLOOKUP(AJ15, Lookups!$B$23:$C$28, 2, FALSE)</f>
        <v>Daylight</v>
      </c>
      <c r="AL15">
        <v>1</v>
      </c>
      <c r="AM15" t="str">
        <f>VLOOKUP(AL15, Lookups!$B$30:$C$39, 2, FALSE)</f>
        <v>Fine / Clear</v>
      </c>
      <c r="AN15">
        <v>1</v>
      </c>
      <c r="AO15" t="str">
        <f>VLOOKUP(AN15, Lookups!$B$41:$C$49, 2, FALSE)</f>
        <v>Dry</v>
      </c>
      <c r="AP15">
        <v>-1</v>
      </c>
      <c r="AQ15">
        <v>-1</v>
      </c>
      <c r="AR15">
        <v>0</v>
      </c>
      <c r="AS15">
        <v>1</v>
      </c>
      <c r="AT15">
        <v>1</v>
      </c>
      <c r="AU15">
        <v>2</v>
      </c>
      <c r="AV15" t="s">
        <v>63</v>
      </c>
      <c r="AW15">
        <v>3</v>
      </c>
      <c r="AX15">
        <v>1</v>
      </c>
      <c r="AY15">
        <v>0</v>
      </c>
      <c r="AZ15">
        <v>1</v>
      </c>
    </row>
    <row r="16" spans="1:52" x14ac:dyDescent="0.35">
      <c r="A16">
        <v>2025221663636</v>
      </c>
      <c r="B16">
        <v>2025</v>
      </c>
      <c r="C16">
        <v>221663636</v>
      </c>
      <c r="D16">
        <v>382509</v>
      </c>
      <c r="E16">
        <v>258941</v>
      </c>
      <c r="F16">
        <v>-2.2574999999999998</v>
      </c>
      <c r="G16">
        <v>52.228389999999997</v>
      </c>
      <c r="H16">
        <v>22</v>
      </c>
      <c r="I16">
        <v>3</v>
      </c>
      <c r="J16" t="str">
        <f>VLOOKUP(I16, Lookups!$B$1:$C$4, 2, FALSE)</f>
        <v>Slight</v>
      </c>
      <c r="K16">
        <v>3</v>
      </c>
      <c r="L16">
        <v>1</v>
      </c>
      <c r="M16" s="1">
        <v>45965</v>
      </c>
      <c r="N16">
        <v>3</v>
      </c>
      <c r="O16" t="str">
        <f>VLOOKUP(N16, Lookups!$B$6:$C$12, 2, FALSE)</f>
        <v>Tuesday</v>
      </c>
      <c r="P16" s="2">
        <v>0.64375000000000004</v>
      </c>
      <c r="Q16">
        <v>-1</v>
      </c>
      <c r="R16" t="s">
        <v>49</v>
      </c>
      <c r="S16" t="s">
        <v>45</v>
      </c>
      <c r="T16" t="s">
        <v>45</v>
      </c>
      <c r="U16">
        <v>6</v>
      </c>
      <c r="V16" t="str">
        <f>VLOOKUP(U16, Lookups!$B$51:$C$57, 2, FALSE)</f>
        <v>Unclassified</v>
      </c>
      <c r="W16">
        <v>0</v>
      </c>
      <c r="X16" t="s">
        <v>362</v>
      </c>
      <c r="Y16">
        <v>6</v>
      </c>
      <c r="Z16" t="str">
        <f>VLOOKUP(Y16, Lookups!$B$14:$C$21, 2, FALSE)</f>
        <v>Single carriageway</v>
      </c>
      <c r="AA16">
        <v>30</v>
      </c>
      <c r="AB16">
        <v>-1</v>
      </c>
      <c r="AC16">
        <v>18</v>
      </c>
      <c r="AD16">
        <v>4</v>
      </c>
      <c r="AE16">
        <v>6</v>
      </c>
      <c r="AF16">
        <v>0</v>
      </c>
      <c r="AG16">
        <v>-1</v>
      </c>
      <c r="AH16">
        <v>-1</v>
      </c>
      <c r="AI16">
        <v>0</v>
      </c>
      <c r="AJ16">
        <v>1</v>
      </c>
      <c r="AK16" t="str">
        <f>VLOOKUP(AJ16, Lookups!$B$23:$C$28, 2, FALSE)</f>
        <v>Daylight</v>
      </c>
      <c r="AL16">
        <v>2</v>
      </c>
      <c r="AM16" t="str">
        <f>VLOOKUP(AL16, Lookups!$B$30:$C$39, 2, FALSE)</f>
        <v>Rain</v>
      </c>
      <c r="AN16">
        <v>2</v>
      </c>
      <c r="AO16" t="str">
        <f>VLOOKUP(AN16, Lookups!$B$41:$C$49, 2, FALSE)</f>
        <v>Wet / damp</v>
      </c>
      <c r="AP16">
        <v>-1</v>
      </c>
      <c r="AQ16">
        <v>-1</v>
      </c>
      <c r="AR16">
        <v>0</v>
      </c>
      <c r="AS16">
        <v>2</v>
      </c>
      <c r="AT16">
        <v>1</v>
      </c>
      <c r="AU16">
        <v>2</v>
      </c>
      <c r="AV16" t="s">
        <v>64</v>
      </c>
      <c r="AW16">
        <v>3</v>
      </c>
      <c r="AX16">
        <v>1</v>
      </c>
      <c r="AY16">
        <v>0</v>
      </c>
      <c r="AZ16">
        <v>1</v>
      </c>
    </row>
    <row r="17" spans="1:52" x14ac:dyDescent="0.35">
      <c r="A17">
        <v>2025221596534</v>
      </c>
      <c r="B17">
        <v>2025</v>
      </c>
      <c r="C17">
        <v>221596534</v>
      </c>
      <c r="D17">
        <v>383494</v>
      </c>
      <c r="E17">
        <v>252167</v>
      </c>
      <c r="F17">
        <v>-2.24275</v>
      </c>
      <c r="G17">
        <v>52.167520000000003</v>
      </c>
      <c r="H17">
        <v>22</v>
      </c>
      <c r="I17">
        <v>3</v>
      </c>
      <c r="J17" t="str">
        <f>VLOOKUP(I17, Lookups!$B$1:$C$4, 2, FALSE)</f>
        <v>Slight</v>
      </c>
      <c r="K17">
        <v>2</v>
      </c>
      <c r="L17">
        <v>1</v>
      </c>
      <c r="M17" s="1">
        <v>45807</v>
      </c>
      <c r="N17">
        <v>6</v>
      </c>
      <c r="O17" t="str">
        <f>VLOOKUP(N17, Lookups!$B$6:$C$12, 2, FALSE)</f>
        <v>Friday</v>
      </c>
      <c r="P17" s="2">
        <v>0.59375</v>
      </c>
      <c r="Q17">
        <v>-1</v>
      </c>
      <c r="R17" t="s">
        <v>49</v>
      </c>
      <c r="S17" t="s">
        <v>45</v>
      </c>
      <c r="T17" t="s">
        <v>45</v>
      </c>
      <c r="U17">
        <v>3</v>
      </c>
      <c r="V17" t="str">
        <f>VLOOKUP(U17, Lookups!$B$51:$C$57, 2, FALSE)</f>
        <v>A</v>
      </c>
      <c r="W17">
        <v>449</v>
      </c>
      <c r="X17" t="str">
        <f>V17&amp;W17</f>
        <v>A449</v>
      </c>
      <c r="Y17">
        <v>1</v>
      </c>
      <c r="Z17" t="str">
        <f>VLOOKUP(Y17, Lookups!$B$14:$C$21, 2, FALSE)</f>
        <v>Roundabout</v>
      </c>
      <c r="AA17">
        <v>40</v>
      </c>
      <c r="AB17">
        <v>-1</v>
      </c>
      <c r="AC17">
        <v>-1</v>
      </c>
      <c r="AD17">
        <v>4</v>
      </c>
      <c r="AE17">
        <v>3</v>
      </c>
      <c r="AF17">
        <v>4440</v>
      </c>
      <c r="AG17">
        <v>-1</v>
      </c>
      <c r="AH17">
        <v>-1</v>
      </c>
      <c r="AI17">
        <v>0</v>
      </c>
      <c r="AJ17">
        <v>1</v>
      </c>
      <c r="AK17" t="str">
        <f>VLOOKUP(AJ17, Lookups!$B$23:$C$28, 2, FALSE)</f>
        <v>Daylight</v>
      </c>
      <c r="AL17">
        <v>1</v>
      </c>
      <c r="AM17" t="str">
        <f>VLOOKUP(AL17, Lookups!$B$30:$C$39, 2, FALSE)</f>
        <v>Fine / Clear</v>
      </c>
      <c r="AN17">
        <v>1</v>
      </c>
      <c r="AO17" t="str">
        <f>VLOOKUP(AN17, Lookups!$B$41:$C$49, 2, FALSE)</f>
        <v>Dry</v>
      </c>
      <c r="AP17">
        <v>-1</v>
      </c>
      <c r="AQ17">
        <v>-1</v>
      </c>
      <c r="AR17">
        <v>0</v>
      </c>
      <c r="AS17">
        <v>2</v>
      </c>
      <c r="AT17">
        <v>1</v>
      </c>
      <c r="AU17">
        <v>2</v>
      </c>
      <c r="AV17" t="s">
        <v>65</v>
      </c>
      <c r="AW17">
        <v>3</v>
      </c>
      <c r="AX17">
        <v>1</v>
      </c>
      <c r="AY17">
        <v>0</v>
      </c>
      <c r="AZ17">
        <v>1</v>
      </c>
    </row>
    <row r="18" spans="1:52" x14ac:dyDescent="0.35">
      <c r="A18">
        <v>2025221649017</v>
      </c>
      <c r="B18">
        <v>2025</v>
      </c>
      <c r="C18">
        <v>221649017</v>
      </c>
      <c r="D18">
        <v>386356</v>
      </c>
      <c r="E18">
        <v>259049</v>
      </c>
      <c r="F18">
        <v>-2.2011799999999999</v>
      </c>
      <c r="G18">
        <v>52.229469999999999</v>
      </c>
      <c r="H18">
        <v>22</v>
      </c>
      <c r="I18">
        <v>3</v>
      </c>
      <c r="J18" t="str">
        <f>VLOOKUP(I18, Lookups!$B$1:$C$4, 2, FALSE)</f>
        <v>Slight</v>
      </c>
      <c r="K18">
        <v>2</v>
      </c>
      <c r="L18">
        <v>1</v>
      </c>
      <c r="M18" s="1">
        <v>45931</v>
      </c>
      <c r="N18">
        <v>4</v>
      </c>
      <c r="O18" t="str">
        <f>VLOOKUP(N18, Lookups!$B$6:$C$12, 2, FALSE)</f>
        <v>Wednesday</v>
      </c>
      <c r="P18" s="2">
        <v>0.66666666666666663</v>
      </c>
      <c r="Q18">
        <v>-1</v>
      </c>
      <c r="R18" t="s">
        <v>54</v>
      </c>
      <c r="S18" t="s">
        <v>45</v>
      </c>
      <c r="T18" t="s">
        <v>45</v>
      </c>
      <c r="U18">
        <v>6</v>
      </c>
      <c r="V18" t="str">
        <f>VLOOKUP(U18, Lookups!$B$51:$C$57, 2, FALSE)</f>
        <v>Unclassified</v>
      </c>
      <c r="W18">
        <v>0</v>
      </c>
      <c r="X18" t="s">
        <v>362</v>
      </c>
      <c r="Y18">
        <v>6</v>
      </c>
      <c r="Z18" t="str">
        <f>VLOOKUP(Y18, Lookups!$B$14:$C$21, 2, FALSE)</f>
        <v>Single carriageway</v>
      </c>
      <c r="AA18">
        <v>30</v>
      </c>
      <c r="AB18">
        <v>-1</v>
      </c>
      <c r="AC18">
        <v>13</v>
      </c>
      <c r="AD18">
        <v>4</v>
      </c>
      <c r="AE18">
        <v>6</v>
      </c>
      <c r="AF18">
        <v>0</v>
      </c>
      <c r="AG18">
        <v>-1</v>
      </c>
      <c r="AH18">
        <v>-1</v>
      </c>
      <c r="AI18">
        <v>0</v>
      </c>
      <c r="AJ18">
        <v>1</v>
      </c>
      <c r="AK18" t="str">
        <f>VLOOKUP(AJ18, Lookups!$B$23:$C$28, 2, FALSE)</f>
        <v>Daylight</v>
      </c>
      <c r="AL18">
        <v>1</v>
      </c>
      <c r="AM18" t="str">
        <f>VLOOKUP(AL18, Lookups!$B$30:$C$39, 2, FALSE)</f>
        <v>Fine / Clear</v>
      </c>
      <c r="AN18">
        <v>1</v>
      </c>
      <c r="AO18" t="str">
        <f>VLOOKUP(AN18, Lookups!$B$41:$C$49, 2, FALSE)</f>
        <v>Dry</v>
      </c>
      <c r="AP18">
        <v>-1</v>
      </c>
      <c r="AQ18">
        <v>-1</v>
      </c>
      <c r="AR18">
        <v>0</v>
      </c>
      <c r="AS18">
        <v>2</v>
      </c>
      <c r="AT18">
        <v>3</v>
      </c>
      <c r="AU18">
        <v>2</v>
      </c>
      <c r="AV18" t="s">
        <v>66</v>
      </c>
      <c r="AW18">
        <v>3</v>
      </c>
      <c r="AX18">
        <v>1</v>
      </c>
      <c r="AY18">
        <v>0</v>
      </c>
      <c r="AZ18">
        <v>1</v>
      </c>
    </row>
    <row r="19" spans="1:52" x14ac:dyDescent="0.35">
      <c r="A19">
        <v>2025221537191</v>
      </c>
      <c r="B19">
        <v>2025</v>
      </c>
      <c r="C19">
        <v>221537191</v>
      </c>
      <c r="D19">
        <v>403501</v>
      </c>
      <c r="E19">
        <v>243533</v>
      </c>
      <c r="F19">
        <v>-1.9503200000000001</v>
      </c>
      <c r="G19">
        <v>52.090130000000002</v>
      </c>
      <c r="H19">
        <v>22</v>
      </c>
      <c r="I19">
        <v>2</v>
      </c>
      <c r="J19" t="str">
        <f>VLOOKUP(I19, Lookups!$B$1:$C$4, 2, FALSE)</f>
        <v>Serious</v>
      </c>
      <c r="K19">
        <v>1</v>
      </c>
      <c r="L19">
        <v>1</v>
      </c>
      <c r="M19" s="1">
        <v>45660</v>
      </c>
      <c r="N19">
        <v>6</v>
      </c>
      <c r="O19" t="str">
        <f>VLOOKUP(N19, Lookups!$B$6:$C$12, 2, FALSE)</f>
        <v>Friday</v>
      </c>
      <c r="P19" s="2">
        <v>0.44027777777777777</v>
      </c>
      <c r="Q19">
        <v>-1</v>
      </c>
      <c r="R19" t="s">
        <v>54</v>
      </c>
      <c r="S19" t="s">
        <v>45</v>
      </c>
      <c r="T19" t="s">
        <v>45</v>
      </c>
      <c r="U19">
        <v>3</v>
      </c>
      <c r="V19" t="str">
        <f>VLOOKUP(U19, Lookups!$B$51:$C$57, 2, FALSE)</f>
        <v>A</v>
      </c>
      <c r="W19">
        <v>4184</v>
      </c>
      <c r="X19" t="str">
        <f>V19&amp;W19</f>
        <v>A4184</v>
      </c>
      <c r="Y19">
        <v>6</v>
      </c>
      <c r="Z19" t="str">
        <f>VLOOKUP(Y19, Lookups!$B$14:$C$21, 2, FALSE)</f>
        <v>Single carriageway</v>
      </c>
      <c r="AA19">
        <v>30</v>
      </c>
      <c r="AB19">
        <v>-1</v>
      </c>
      <c r="AC19">
        <v>0</v>
      </c>
      <c r="AD19">
        <v>-1</v>
      </c>
      <c r="AE19">
        <v>6</v>
      </c>
      <c r="AF19">
        <v>0</v>
      </c>
      <c r="AG19">
        <v>-1</v>
      </c>
      <c r="AH19">
        <v>-1</v>
      </c>
      <c r="AI19">
        <v>0</v>
      </c>
      <c r="AJ19">
        <v>1</v>
      </c>
      <c r="AK19" t="str">
        <f>VLOOKUP(AJ19, Lookups!$B$23:$C$28, 2, FALSE)</f>
        <v>Daylight</v>
      </c>
      <c r="AL19">
        <v>1</v>
      </c>
      <c r="AM19" t="str">
        <f>VLOOKUP(AL19, Lookups!$B$30:$C$39, 2, FALSE)</f>
        <v>Fine / Clear</v>
      </c>
      <c r="AN19">
        <v>1</v>
      </c>
      <c r="AO19" t="str">
        <f>VLOOKUP(AN19, Lookups!$B$41:$C$49, 2, FALSE)</f>
        <v>Dry</v>
      </c>
      <c r="AP19">
        <v>-1</v>
      </c>
      <c r="AQ19">
        <v>-1</v>
      </c>
      <c r="AR19">
        <v>0</v>
      </c>
      <c r="AS19">
        <v>1</v>
      </c>
      <c r="AT19">
        <v>1</v>
      </c>
      <c r="AU19">
        <v>2</v>
      </c>
      <c r="AV19" t="s">
        <v>67</v>
      </c>
      <c r="AW19">
        <v>7</v>
      </c>
      <c r="AX19">
        <v>1</v>
      </c>
      <c r="AY19">
        <v>1</v>
      </c>
      <c r="AZ19">
        <v>0</v>
      </c>
    </row>
    <row r="20" spans="1:52" x14ac:dyDescent="0.35">
      <c r="A20">
        <v>2025221577340</v>
      </c>
      <c r="B20">
        <v>2025</v>
      </c>
      <c r="C20">
        <v>221577340</v>
      </c>
      <c r="D20">
        <v>385847</v>
      </c>
      <c r="E20">
        <v>254436</v>
      </c>
      <c r="F20">
        <v>-2.20844</v>
      </c>
      <c r="G20">
        <v>52.187980000000003</v>
      </c>
      <c r="H20">
        <v>22</v>
      </c>
      <c r="I20">
        <v>3</v>
      </c>
      <c r="J20" t="str">
        <f>VLOOKUP(I20, Lookups!$B$1:$C$4, 2, FALSE)</f>
        <v>Slight</v>
      </c>
      <c r="K20">
        <v>1</v>
      </c>
      <c r="L20">
        <v>1</v>
      </c>
      <c r="M20" s="1">
        <v>45759</v>
      </c>
      <c r="N20">
        <v>7</v>
      </c>
      <c r="O20" t="str">
        <f>VLOOKUP(N20, Lookups!$B$6:$C$12, 2, FALSE)</f>
        <v>Saturday</v>
      </c>
      <c r="P20" s="2">
        <v>0.71875</v>
      </c>
      <c r="Q20">
        <v>-1</v>
      </c>
      <c r="R20" t="s">
        <v>60</v>
      </c>
      <c r="S20" t="s">
        <v>45</v>
      </c>
      <c r="T20" t="s">
        <v>45</v>
      </c>
      <c r="U20">
        <v>6</v>
      </c>
      <c r="V20" t="str">
        <f>VLOOKUP(U20, Lookups!$B$51:$C$57, 2, FALSE)</f>
        <v>Unclassified</v>
      </c>
      <c r="W20">
        <v>0</v>
      </c>
      <c r="X20" t="s">
        <v>362</v>
      </c>
      <c r="Y20">
        <v>6</v>
      </c>
      <c r="Z20" t="str">
        <f>VLOOKUP(Y20, Lookups!$B$14:$C$21, 2, FALSE)</f>
        <v>Single carriageway</v>
      </c>
      <c r="AA20">
        <v>30</v>
      </c>
      <c r="AB20">
        <v>-1</v>
      </c>
      <c r="AC20">
        <v>13</v>
      </c>
      <c r="AD20">
        <v>1</v>
      </c>
      <c r="AE20">
        <v>6</v>
      </c>
      <c r="AF20">
        <v>0</v>
      </c>
      <c r="AG20">
        <v>-1</v>
      </c>
      <c r="AH20">
        <v>-1</v>
      </c>
      <c r="AI20">
        <v>0</v>
      </c>
      <c r="AJ20">
        <v>1</v>
      </c>
      <c r="AK20" t="str">
        <f>VLOOKUP(AJ20, Lookups!$B$23:$C$28, 2, FALSE)</f>
        <v>Daylight</v>
      </c>
      <c r="AL20">
        <v>1</v>
      </c>
      <c r="AM20" t="str">
        <f>VLOOKUP(AL20, Lookups!$B$30:$C$39, 2, FALSE)</f>
        <v>Fine / Clear</v>
      </c>
      <c r="AN20">
        <v>1</v>
      </c>
      <c r="AO20" t="str">
        <f>VLOOKUP(AN20, Lookups!$B$41:$C$49, 2, FALSE)</f>
        <v>Dry</v>
      </c>
      <c r="AP20">
        <v>-1</v>
      </c>
      <c r="AQ20">
        <v>-1</v>
      </c>
      <c r="AR20">
        <v>0</v>
      </c>
      <c r="AS20">
        <v>1</v>
      </c>
      <c r="AT20">
        <v>1</v>
      </c>
      <c r="AU20">
        <v>2</v>
      </c>
      <c r="AV20" t="s">
        <v>68</v>
      </c>
      <c r="AW20">
        <v>3</v>
      </c>
      <c r="AX20">
        <v>1</v>
      </c>
      <c r="AY20">
        <v>0</v>
      </c>
      <c r="AZ20">
        <v>1</v>
      </c>
    </row>
    <row r="21" spans="1:52" x14ac:dyDescent="0.35">
      <c r="A21">
        <v>2025221586216</v>
      </c>
      <c r="B21">
        <v>2025</v>
      </c>
      <c r="C21">
        <v>221586216</v>
      </c>
      <c r="D21">
        <v>405886</v>
      </c>
      <c r="E21">
        <v>265584</v>
      </c>
      <c r="F21">
        <v>-1.91513</v>
      </c>
      <c r="G21">
        <v>52.288359999999997</v>
      </c>
      <c r="H21">
        <v>22</v>
      </c>
      <c r="I21">
        <v>1</v>
      </c>
      <c r="J21" t="str">
        <f>VLOOKUP(I21, Lookups!$B$1:$C$4, 2, FALSE)</f>
        <v>Fatal</v>
      </c>
      <c r="K21">
        <v>2</v>
      </c>
      <c r="L21">
        <v>3</v>
      </c>
      <c r="M21" s="1">
        <v>45782</v>
      </c>
      <c r="N21">
        <v>2</v>
      </c>
      <c r="O21" t="str">
        <f>VLOOKUP(N21, Lookups!$B$6:$C$12, 2, FALSE)</f>
        <v>Monday</v>
      </c>
      <c r="P21" s="2">
        <v>0.52222222222222225</v>
      </c>
      <c r="Q21">
        <v>-1</v>
      </c>
      <c r="R21" t="s">
        <v>69</v>
      </c>
      <c r="S21" t="s">
        <v>45</v>
      </c>
      <c r="T21" t="s">
        <v>45</v>
      </c>
      <c r="U21">
        <v>6</v>
      </c>
      <c r="V21" t="str">
        <f>VLOOKUP(U21, Lookups!$B$51:$C$57, 2, FALSE)</f>
        <v>Unclassified</v>
      </c>
      <c r="W21">
        <v>0</v>
      </c>
      <c r="X21" t="s">
        <v>362</v>
      </c>
      <c r="Y21">
        <v>6</v>
      </c>
      <c r="Z21" t="str">
        <f>VLOOKUP(Y21, Lookups!$B$14:$C$21, 2, FALSE)</f>
        <v>Single carriageway</v>
      </c>
      <c r="AA21">
        <v>30</v>
      </c>
      <c r="AB21">
        <v>-1</v>
      </c>
      <c r="AC21">
        <v>13</v>
      </c>
      <c r="AD21">
        <v>4</v>
      </c>
      <c r="AE21">
        <v>6</v>
      </c>
      <c r="AF21">
        <v>0</v>
      </c>
      <c r="AG21">
        <v>-1</v>
      </c>
      <c r="AH21">
        <v>-1</v>
      </c>
      <c r="AI21">
        <v>0</v>
      </c>
      <c r="AJ21">
        <v>1</v>
      </c>
      <c r="AK21" t="str">
        <f>VLOOKUP(AJ21, Lookups!$B$23:$C$28, 2, FALSE)</f>
        <v>Daylight</v>
      </c>
      <c r="AL21">
        <v>1</v>
      </c>
      <c r="AM21" t="str">
        <f>VLOOKUP(AL21, Lookups!$B$30:$C$39, 2, FALSE)</f>
        <v>Fine / Clear</v>
      </c>
      <c r="AN21">
        <v>1</v>
      </c>
      <c r="AO21" t="str">
        <f>VLOOKUP(AN21, Lookups!$B$41:$C$49, 2, FALSE)</f>
        <v>Dry</v>
      </c>
      <c r="AP21">
        <v>-1</v>
      </c>
      <c r="AQ21">
        <v>-1</v>
      </c>
      <c r="AR21">
        <v>12</v>
      </c>
      <c r="AS21">
        <v>1</v>
      </c>
      <c r="AT21">
        <v>1</v>
      </c>
      <c r="AU21">
        <v>2</v>
      </c>
      <c r="AV21" t="s">
        <v>70</v>
      </c>
      <c r="AW21">
        <v>1</v>
      </c>
      <c r="AX21">
        <v>1</v>
      </c>
      <c r="AY21">
        <v>0</v>
      </c>
      <c r="AZ21">
        <v>0</v>
      </c>
    </row>
    <row r="22" spans="1:52" x14ac:dyDescent="0.35">
      <c r="A22">
        <v>2025221607209</v>
      </c>
      <c r="B22">
        <v>2025</v>
      </c>
      <c r="C22">
        <v>221607209</v>
      </c>
      <c r="D22">
        <v>395899</v>
      </c>
      <c r="E22">
        <v>270799</v>
      </c>
      <c r="F22">
        <v>-2.0616099999999999</v>
      </c>
      <c r="G22">
        <v>52.335259999999998</v>
      </c>
      <c r="H22">
        <v>22</v>
      </c>
      <c r="I22">
        <v>3</v>
      </c>
      <c r="J22" t="str">
        <f>VLOOKUP(I22, Lookups!$B$1:$C$4, 2, FALSE)</f>
        <v>Slight</v>
      </c>
      <c r="K22">
        <v>1</v>
      </c>
      <c r="L22">
        <v>1</v>
      </c>
      <c r="M22" s="1">
        <v>45831</v>
      </c>
      <c r="N22">
        <v>2</v>
      </c>
      <c r="O22" t="str">
        <f>VLOOKUP(N22, Lookups!$B$6:$C$12, 2, FALSE)</f>
        <v>Monday</v>
      </c>
      <c r="P22" s="2">
        <v>0.51388888888888884</v>
      </c>
      <c r="Q22">
        <v>-1</v>
      </c>
      <c r="R22" t="s">
        <v>47</v>
      </c>
      <c r="S22" t="s">
        <v>45</v>
      </c>
      <c r="T22" t="s">
        <v>45</v>
      </c>
      <c r="U22">
        <v>6</v>
      </c>
      <c r="V22" t="str">
        <f>VLOOKUP(U22, Lookups!$B$51:$C$57, 2, FALSE)</f>
        <v>Unclassified</v>
      </c>
      <c r="W22">
        <v>0</v>
      </c>
      <c r="X22" t="s">
        <v>362</v>
      </c>
      <c r="Y22">
        <v>6</v>
      </c>
      <c r="Z22" t="str">
        <f>VLOOKUP(Y22, Lookups!$B$14:$C$21, 2, FALSE)</f>
        <v>Single carriageway</v>
      </c>
      <c r="AA22">
        <v>30</v>
      </c>
      <c r="AB22">
        <v>-1</v>
      </c>
      <c r="AC22">
        <v>13</v>
      </c>
      <c r="AD22">
        <v>4</v>
      </c>
      <c r="AE22">
        <v>6</v>
      </c>
      <c r="AF22">
        <v>0</v>
      </c>
      <c r="AG22">
        <v>-1</v>
      </c>
      <c r="AH22">
        <v>-1</v>
      </c>
      <c r="AI22">
        <v>0</v>
      </c>
      <c r="AJ22">
        <v>1</v>
      </c>
      <c r="AK22" t="str">
        <f>VLOOKUP(AJ22, Lookups!$B$23:$C$28, 2, FALSE)</f>
        <v>Daylight</v>
      </c>
      <c r="AL22">
        <v>1</v>
      </c>
      <c r="AM22" t="str">
        <f>VLOOKUP(AL22, Lookups!$B$30:$C$39, 2, FALSE)</f>
        <v>Fine / Clear</v>
      </c>
      <c r="AN22">
        <v>1</v>
      </c>
      <c r="AO22" t="str">
        <f>VLOOKUP(AN22, Lookups!$B$41:$C$49, 2, FALSE)</f>
        <v>Dry</v>
      </c>
      <c r="AP22">
        <v>-1</v>
      </c>
      <c r="AQ22">
        <v>-1</v>
      </c>
      <c r="AR22">
        <v>0</v>
      </c>
      <c r="AS22">
        <v>1</v>
      </c>
      <c r="AT22">
        <v>1</v>
      </c>
      <c r="AU22">
        <v>2</v>
      </c>
      <c r="AV22" t="s">
        <v>71</v>
      </c>
      <c r="AW22">
        <v>3</v>
      </c>
      <c r="AX22">
        <v>1</v>
      </c>
      <c r="AY22">
        <v>0</v>
      </c>
      <c r="AZ22">
        <v>1</v>
      </c>
    </row>
    <row r="23" spans="1:52" x14ac:dyDescent="0.35">
      <c r="A23">
        <v>2025221647090</v>
      </c>
      <c r="B23">
        <v>2025</v>
      </c>
      <c r="C23">
        <v>221647090</v>
      </c>
      <c r="D23">
        <v>406109</v>
      </c>
      <c r="E23">
        <v>249057</v>
      </c>
      <c r="F23">
        <v>-1.91215</v>
      </c>
      <c r="G23">
        <v>52.139780000000002</v>
      </c>
      <c r="H23">
        <v>22</v>
      </c>
      <c r="I23">
        <v>2</v>
      </c>
      <c r="J23" t="str">
        <f>VLOOKUP(I23, Lookups!$B$1:$C$4, 2, FALSE)</f>
        <v>Serious</v>
      </c>
      <c r="K23">
        <v>3</v>
      </c>
      <c r="L23">
        <v>1</v>
      </c>
      <c r="M23" s="1">
        <v>45925</v>
      </c>
      <c r="N23">
        <v>5</v>
      </c>
      <c r="O23" t="str">
        <f>VLOOKUP(N23, Lookups!$B$6:$C$12, 2, FALSE)</f>
        <v>Thursday</v>
      </c>
      <c r="P23" s="2">
        <v>0.75</v>
      </c>
      <c r="Q23">
        <v>-1</v>
      </c>
      <c r="R23" t="s">
        <v>54</v>
      </c>
      <c r="S23" t="s">
        <v>45</v>
      </c>
      <c r="T23" t="s">
        <v>45</v>
      </c>
      <c r="U23">
        <v>6</v>
      </c>
      <c r="V23" t="str">
        <f>VLOOKUP(U23, Lookups!$B$51:$C$57, 2, FALSE)</f>
        <v>Unclassified</v>
      </c>
      <c r="W23">
        <v>0</v>
      </c>
      <c r="X23" t="s">
        <v>362</v>
      </c>
      <c r="Y23">
        <v>6</v>
      </c>
      <c r="Z23" t="str">
        <f>VLOOKUP(Y23, Lookups!$B$14:$C$21, 2, FALSE)</f>
        <v>Single carriageway</v>
      </c>
      <c r="AA23">
        <v>60</v>
      </c>
      <c r="AB23">
        <v>-1</v>
      </c>
      <c r="AC23">
        <v>13</v>
      </c>
      <c r="AD23">
        <v>4</v>
      </c>
      <c r="AE23">
        <v>6</v>
      </c>
      <c r="AF23">
        <v>0</v>
      </c>
      <c r="AG23">
        <v>-1</v>
      </c>
      <c r="AH23">
        <v>-1</v>
      </c>
      <c r="AI23">
        <v>0</v>
      </c>
      <c r="AJ23">
        <v>1</v>
      </c>
      <c r="AK23" t="str">
        <f>VLOOKUP(AJ23, Lookups!$B$23:$C$28, 2, FALSE)</f>
        <v>Daylight</v>
      </c>
      <c r="AL23">
        <v>1</v>
      </c>
      <c r="AM23" t="str">
        <f>VLOOKUP(AL23, Lookups!$B$30:$C$39, 2, FALSE)</f>
        <v>Fine / Clear</v>
      </c>
      <c r="AN23">
        <v>1</v>
      </c>
      <c r="AO23" t="str">
        <f>VLOOKUP(AN23, Lookups!$B$41:$C$49, 2, FALSE)</f>
        <v>Dry</v>
      </c>
      <c r="AP23">
        <v>-1</v>
      </c>
      <c r="AQ23">
        <v>-1</v>
      </c>
      <c r="AR23">
        <v>0</v>
      </c>
      <c r="AS23">
        <v>2</v>
      </c>
      <c r="AT23">
        <v>1</v>
      </c>
      <c r="AU23">
        <v>2</v>
      </c>
      <c r="AV23" t="s">
        <v>72</v>
      </c>
      <c r="AW23">
        <v>7</v>
      </c>
      <c r="AX23">
        <v>1</v>
      </c>
      <c r="AY23">
        <v>1</v>
      </c>
      <c r="AZ23">
        <v>0</v>
      </c>
    </row>
    <row r="24" spans="1:52" x14ac:dyDescent="0.35">
      <c r="A24">
        <v>2025221550825</v>
      </c>
      <c r="B24">
        <v>2025</v>
      </c>
      <c r="C24">
        <v>221550825</v>
      </c>
      <c r="D24">
        <v>404092</v>
      </c>
      <c r="E24">
        <v>243648</v>
      </c>
      <c r="F24">
        <v>-1.9416899999999999</v>
      </c>
      <c r="G24">
        <v>52.091160000000002</v>
      </c>
      <c r="H24">
        <v>22</v>
      </c>
      <c r="I24">
        <v>3</v>
      </c>
      <c r="J24" t="str">
        <f>VLOOKUP(I24, Lookups!$B$1:$C$4, 2, FALSE)</f>
        <v>Slight</v>
      </c>
      <c r="K24">
        <v>2</v>
      </c>
      <c r="L24">
        <v>1</v>
      </c>
      <c r="M24" s="1">
        <v>45666</v>
      </c>
      <c r="N24">
        <v>5</v>
      </c>
      <c r="O24" t="str">
        <f>VLOOKUP(N24, Lookups!$B$6:$C$12, 2, FALSE)</f>
        <v>Thursday</v>
      </c>
      <c r="P24" s="2">
        <v>0.51388888888888884</v>
      </c>
      <c r="Q24">
        <v>-1</v>
      </c>
      <c r="R24" t="s">
        <v>54</v>
      </c>
      <c r="S24" t="s">
        <v>45</v>
      </c>
      <c r="T24" t="s">
        <v>45</v>
      </c>
      <c r="U24">
        <v>4</v>
      </c>
      <c r="V24" t="str">
        <f>VLOOKUP(U24, Lookups!$B$51:$C$57, 2, FALSE)</f>
        <v>B</v>
      </c>
      <c r="W24">
        <v>4035</v>
      </c>
      <c r="X24" t="str">
        <f t="shared" ref="X24:X25" si="3">V24&amp;W24</f>
        <v>B4035</v>
      </c>
      <c r="Y24">
        <v>6</v>
      </c>
      <c r="Z24" t="str">
        <f>VLOOKUP(Y24, Lookups!$B$14:$C$21, 2, FALSE)</f>
        <v>Single carriageway</v>
      </c>
      <c r="AA24">
        <v>30</v>
      </c>
      <c r="AB24">
        <v>-1</v>
      </c>
      <c r="AC24">
        <v>13</v>
      </c>
      <c r="AD24">
        <v>2</v>
      </c>
      <c r="AE24">
        <v>6</v>
      </c>
      <c r="AF24">
        <v>0</v>
      </c>
      <c r="AG24">
        <v>-1</v>
      </c>
      <c r="AH24">
        <v>-1</v>
      </c>
      <c r="AI24">
        <v>0</v>
      </c>
      <c r="AJ24">
        <v>1</v>
      </c>
      <c r="AK24" t="str">
        <f>VLOOKUP(AJ24, Lookups!$B$23:$C$28, 2, FALSE)</f>
        <v>Daylight</v>
      </c>
      <c r="AL24">
        <v>1</v>
      </c>
      <c r="AM24" t="str">
        <f>VLOOKUP(AL24, Lookups!$B$30:$C$39, 2, FALSE)</f>
        <v>Fine / Clear</v>
      </c>
      <c r="AN24">
        <v>1</v>
      </c>
      <c r="AO24" t="str">
        <f>VLOOKUP(AN24, Lookups!$B$41:$C$49, 2, FALSE)</f>
        <v>Dry</v>
      </c>
      <c r="AP24">
        <v>-1</v>
      </c>
      <c r="AQ24">
        <v>-1</v>
      </c>
      <c r="AR24">
        <v>0</v>
      </c>
      <c r="AS24">
        <v>1</v>
      </c>
      <c r="AT24">
        <v>1</v>
      </c>
      <c r="AU24">
        <v>2</v>
      </c>
      <c r="AV24" t="s">
        <v>67</v>
      </c>
      <c r="AW24">
        <v>3</v>
      </c>
      <c r="AX24">
        <v>1</v>
      </c>
      <c r="AY24">
        <v>0</v>
      </c>
      <c r="AZ24">
        <v>1</v>
      </c>
    </row>
    <row r="25" spans="1:52" x14ac:dyDescent="0.35">
      <c r="A25">
        <v>2025221557272</v>
      </c>
      <c r="B25">
        <v>2025</v>
      </c>
      <c r="C25">
        <v>221557272</v>
      </c>
      <c r="D25">
        <v>392552</v>
      </c>
      <c r="E25">
        <v>281366</v>
      </c>
      <c r="F25">
        <v>-2.11097</v>
      </c>
      <c r="G25">
        <v>52.430219999999998</v>
      </c>
      <c r="H25">
        <v>22</v>
      </c>
      <c r="I25">
        <v>2</v>
      </c>
      <c r="J25" t="str">
        <f>VLOOKUP(I25, Lookups!$B$1:$C$4, 2, FALSE)</f>
        <v>Serious</v>
      </c>
      <c r="K25">
        <v>2</v>
      </c>
      <c r="L25">
        <v>1</v>
      </c>
      <c r="M25" s="1">
        <v>45710</v>
      </c>
      <c r="N25">
        <v>7</v>
      </c>
      <c r="O25" t="str">
        <f>VLOOKUP(N25, Lookups!$B$6:$C$12, 2, FALSE)</f>
        <v>Saturday</v>
      </c>
      <c r="P25" s="2">
        <v>0.71458333333333335</v>
      </c>
      <c r="Q25">
        <v>-1</v>
      </c>
      <c r="R25" t="s">
        <v>47</v>
      </c>
      <c r="S25" t="s">
        <v>45</v>
      </c>
      <c r="T25" t="s">
        <v>45</v>
      </c>
      <c r="U25">
        <v>3</v>
      </c>
      <c r="V25" t="str">
        <f>VLOOKUP(U25, Lookups!$B$51:$C$57, 2, FALSE)</f>
        <v>A</v>
      </c>
      <c r="W25">
        <v>456</v>
      </c>
      <c r="X25" t="str">
        <f t="shared" si="3"/>
        <v>A456</v>
      </c>
      <c r="Y25">
        <v>3</v>
      </c>
      <c r="Z25" t="str">
        <f>VLOOKUP(Y25, Lookups!$B$14:$C$21, 2, FALSE)</f>
        <v>Dual carriageway</v>
      </c>
      <c r="AA25">
        <v>60</v>
      </c>
      <c r="AB25">
        <v>-1</v>
      </c>
      <c r="AC25">
        <v>17</v>
      </c>
      <c r="AD25">
        <v>4</v>
      </c>
      <c r="AE25">
        <v>3</v>
      </c>
      <c r="AF25">
        <v>456</v>
      </c>
      <c r="AG25">
        <v>-1</v>
      </c>
      <c r="AH25">
        <v>-1</v>
      </c>
      <c r="AI25">
        <v>0</v>
      </c>
      <c r="AJ25">
        <v>4</v>
      </c>
      <c r="AK25" t="str">
        <f>VLOOKUP(AJ25, Lookups!$B$23:$C$28, 2, FALSE)</f>
        <v>Darkness (Lit)</v>
      </c>
      <c r="AL25">
        <v>1</v>
      </c>
      <c r="AM25" t="str">
        <f>VLOOKUP(AL25, Lookups!$B$30:$C$39, 2, FALSE)</f>
        <v>Fine / Clear</v>
      </c>
      <c r="AN25">
        <v>1</v>
      </c>
      <c r="AO25" t="str">
        <f>VLOOKUP(AN25, Lookups!$B$41:$C$49, 2, FALSE)</f>
        <v>Dry</v>
      </c>
      <c r="AP25">
        <v>-1</v>
      </c>
      <c r="AQ25">
        <v>-1</v>
      </c>
      <c r="AR25">
        <v>0</v>
      </c>
      <c r="AS25">
        <v>2</v>
      </c>
      <c r="AT25">
        <v>1</v>
      </c>
      <c r="AU25">
        <v>2</v>
      </c>
      <c r="AV25" t="s">
        <v>73</v>
      </c>
      <c r="AW25">
        <v>7</v>
      </c>
      <c r="AX25">
        <v>1</v>
      </c>
      <c r="AY25">
        <v>1</v>
      </c>
      <c r="AZ25">
        <v>0</v>
      </c>
    </row>
    <row r="26" spans="1:52" x14ac:dyDescent="0.35">
      <c r="A26">
        <v>2025221587020</v>
      </c>
      <c r="B26">
        <v>2025</v>
      </c>
      <c r="C26">
        <v>221587020</v>
      </c>
      <c r="D26">
        <v>389533</v>
      </c>
      <c r="E26">
        <v>263319</v>
      </c>
      <c r="F26">
        <v>-2.1547999999999998</v>
      </c>
      <c r="G26">
        <v>52.26793</v>
      </c>
      <c r="H26">
        <v>22</v>
      </c>
      <c r="I26">
        <v>3</v>
      </c>
      <c r="J26" t="str">
        <f>VLOOKUP(I26, Lookups!$B$1:$C$4, 2, FALSE)</f>
        <v>Slight</v>
      </c>
      <c r="K26">
        <v>2</v>
      </c>
      <c r="L26">
        <v>1</v>
      </c>
      <c r="M26" s="1">
        <v>45784</v>
      </c>
      <c r="N26">
        <v>4</v>
      </c>
      <c r="O26" t="str">
        <f>VLOOKUP(N26, Lookups!$B$6:$C$12, 2, FALSE)</f>
        <v>Wednesday</v>
      </c>
      <c r="P26" s="2">
        <v>0.88888888888888884</v>
      </c>
      <c r="Q26">
        <v>-1</v>
      </c>
      <c r="R26" t="s">
        <v>54</v>
      </c>
      <c r="S26" t="s">
        <v>45</v>
      </c>
      <c r="T26" t="s">
        <v>45</v>
      </c>
      <c r="U26">
        <v>6</v>
      </c>
      <c r="V26" t="str">
        <f>VLOOKUP(U26, Lookups!$B$51:$C$57, 2, FALSE)</f>
        <v>Unclassified</v>
      </c>
      <c r="W26">
        <v>0</v>
      </c>
      <c r="X26" t="s">
        <v>362</v>
      </c>
      <c r="Y26">
        <v>6</v>
      </c>
      <c r="Z26" t="str">
        <f>VLOOKUP(Y26, Lookups!$B$14:$C$21, 2, FALSE)</f>
        <v>Single carriageway</v>
      </c>
      <c r="AA26">
        <v>30</v>
      </c>
      <c r="AB26">
        <v>-1</v>
      </c>
      <c r="AC26">
        <v>13</v>
      </c>
      <c r="AD26">
        <v>4</v>
      </c>
      <c r="AE26">
        <v>6</v>
      </c>
      <c r="AF26">
        <v>0</v>
      </c>
      <c r="AG26">
        <v>-1</v>
      </c>
      <c r="AH26">
        <v>-1</v>
      </c>
      <c r="AI26">
        <v>0</v>
      </c>
      <c r="AJ26">
        <v>1</v>
      </c>
      <c r="AK26" t="str">
        <f>VLOOKUP(AJ26, Lookups!$B$23:$C$28, 2, FALSE)</f>
        <v>Daylight</v>
      </c>
      <c r="AL26">
        <v>1</v>
      </c>
      <c r="AM26" t="str">
        <f>VLOOKUP(AL26, Lookups!$B$30:$C$39, 2, FALSE)</f>
        <v>Fine / Clear</v>
      </c>
      <c r="AN26">
        <v>1</v>
      </c>
      <c r="AO26" t="str">
        <f>VLOOKUP(AN26, Lookups!$B$41:$C$49, 2, FALSE)</f>
        <v>Dry</v>
      </c>
      <c r="AP26">
        <v>-1</v>
      </c>
      <c r="AQ26">
        <v>-1</v>
      </c>
      <c r="AR26">
        <v>0</v>
      </c>
      <c r="AS26">
        <v>1</v>
      </c>
      <c r="AT26">
        <v>3</v>
      </c>
      <c r="AU26">
        <v>2</v>
      </c>
      <c r="AV26" t="s">
        <v>74</v>
      </c>
      <c r="AW26">
        <v>3</v>
      </c>
      <c r="AX26">
        <v>1</v>
      </c>
      <c r="AY26">
        <v>0</v>
      </c>
      <c r="AZ26">
        <v>1</v>
      </c>
    </row>
    <row r="27" spans="1:52" x14ac:dyDescent="0.35">
      <c r="A27">
        <v>2025221592189</v>
      </c>
      <c r="B27">
        <v>2025</v>
      </c>
      <c r="C27">
        <v>221592189</v>
      </c>
      <c r="D27">
        <v>388154</v>
      </c>
      <c r="E27">
        <v>254249</v>
      </c>
      <c r="F27">
        <v>-2.17469</v>
      </c>
      <c r="G27">
        <v>52.186360000000001</v>
      </c>
      <c r="H27">
        <v>22</v>
      </c>
      <c r="I27">
        <v>3</v>
      </c>
      <c r="J27" t="str">
        <f>VLOOKUP(I27, Lookups!$B$1:$C$4, 2, FALSE)</f>
        <v>Slight</v>
      </c>
      <c r="K27">
        <v>2</v>
      </c>
      <c r="L27">
        <v>1</v>
      </c>
      <c r="M27" s="1">
        <v>45796</v>
      </c>
      <c r="N27">
        <v>2</v>
      </c>
      <c r="O27" t="str">
        <f>VLOOKUP(N27, Lookups!$B$6:$C$12, 2, FALSE)</f>
        <v>Monday</v>
      </c>
      <c r="P27" s="2">
        <v>0.41666666666666669</v>
      </c>
      <c r="Q27">
        <v>-1</v>
      </c>
      <c r="R27" t="s">
        <v>60</v>
      </c>
      <c r="S27" t="s">
        <v>45</v>
      </c>
      <c r="T27" t="s">
        <v>45</v>
      </c>
      <c r="U27">
        <v>3</v>
      </c>
      <c r="V27" t="str">
        <f>VLOOKUP(U27, Lookups!$B$51:$C$57, 2, FALSE)</f>
        <v>A</v>
      </c>
      <c r="W27">
        <v>4440</v>
      </c>
      <c r="X27" t="str">
        <f t="shared" ref="X27:X28" si="4">V27&amp;W27</f>
        <v>A4440</v>
      </c>
      <c r="Y27">
        <v>3</v>
      </c>
      <c r="Z27" t="str">
        <f>VLOOKUP(Y27, Lookups!$B$14:$C$21, 2, FALSE)</f>
        <v>Dual carriageway</v>
      </c>
      <c r="AA27">
        <v>40</v>
      </c>
      <c r="AB27">
        <v>-1</v>
      </c>
      <c r="AC27">
        <v>-1</v>
      </c>
      <c r="AD27">
        <v>4</v>
      </c>
      <c r="AE27">
        <v>3</v>
      </c>
      <c r="AF27">
        <v>4440</v>
      </c>
      <c r="AG27">
        <v>-1</v>
      </c>
      <c r="AH27">
        <v>-1</v>
      </c>
      <c r="AI27">
        <v>14</v>
      </c>
      <c r="AJ27">
        <v>1</v>
      </c>
      <c r="AK27" t="str">
        <f>VLOOKUP(AJ27, Lookups!$B$23:$C$28, 2, FALSE)</f>
        <v>Daylight</v>
      </c>
      <c r="AL27">
        <v>1</v>
      </c>
      <c r="AM27" t="str">
        <f>VLOOKUP(AL27, Lookups!$B$30:$C$39, 2, FALSE)</f>
        <v>Fine / Clear</v>
      </c>
      <c r="AN27">
        <v>1</v>
      </c>
      <c r="AO27" t="str">
        <f>VLOOKUP(AN27, Lookups!$B$41:$C$49, 2, FALSE)</f>
        <v>Dry</v>
      </c>
      <c r="AP27">
        <v>-1</v>
      </c>
      <c r="AQ27">
        <v>-1</v>
      </c>
      <c r="AR27">
        <v>0</v>
      </c>
      <c r="AS27">
        <v>2</v>
      </c>
      <c r="AT27">
        <v>3</v>
      </c>
      <c r="AU27">
        <v>2</v>
      </c>
      <c r="AV27" t="s">
        <v>75</v>
      </c>
      <c r="AW27">
        <v>3</v>
      </c>
      <c r="AX27">
        <v>1</v>
      </c>
      <c r="AY27">
        <v>0</v>
      </c>
      <c r="AZ27">
        <v>1</v>
      </c>
    </row>
    <row r="28" spans="1:52" x14ac:dyDescent="0.35">
      <c r="A28">
        <v>2025221633599</v>
      </c>
      <c r="B28">
        <v>2025</v>
      </c>
      <c r="C28">
        <v>221633599</v>
      </c>
      <c r="D28">
        <v>374811</v>
      </c>
      <c r="E28">
        <v>266224</v>
      </c>
      <c r="F28">
        <v>-2.3707500000000001</v>
      </c>
      <c r="G28">
        <v>52.293559999999999</v>
      </c>
      <c r="H28">
        <v>22</v>
      </c>
      <c r="I28">
        <v>2</v>
      </c>
      <c r="J28" t="str">
        <f>VLOOKUP(I28, Lookups!$B$1:$C$4, 2, FALSE)</f>
        <v>Serious</v>
      </c>
      <c r="K28">
        <v>1</v>
      </c>
      <c r="L28">
        <v>1</v>
      </c>
      <c r="M28" s="1">
        <v>45894</v>
      </c>
      <c r="N28">
        <v>2</v>
      </c>
      <c r="O28" t="str">
        <f>VLOOKUP(N28, Lookups!$B$6:$C$12, 2, FALSE)</f>
        <v>Monday</v>
      </c>
      <c r="P28" s="2">
        <v>0.47222222222222221</v>
      </c>
      <c r="Q28">
        <v>-1</v>
      </c>
      <c r="R28" t="s">
        <v>49</v>
      </c>
      <c r="S28" t="s">
        <v>45</v>
      </c>
      <c r="T28" t="s">
        <v>45</v>
      </c>
      <c r="U28">
        <v>4</v>
      </c>
      <c r="V28" t="str">
        <f>VLOOKUP(U28, Lookups!$B$51:$C$57, 2, FALSE)</f>
        <v>B</v>
      </c>
      <c r="W28">
        <v>4203</v>
      </c>
      <c r="X28" t="str">
        <f t="shared" si="4"/>
        <v>B4203</v>
      </c>
      <c r="Y28">
        <v>6</v>
      </c>
      <c r="Z28" t="str">
        <f>VLOOKUP(Y28, Lookups!$B$14:$C$21, 2, FALSE)</f>
        <v>Single carriageway</v>
      </c>
      <c r="AA28">
        <v>60</v>
      </c>
      <c r="AB28">
        <v>-1</v>
      </c>
      <c r="AC28">
        <v>0</v>
      </c>
      <c r="AD28">
        <v>-1</v>
      </c>
      <c r="AE28">
        <v>0</v>
      </c>
      <c r="AF28">
        <v>-1</v>
      </c>
      <c r="AG28">
        <v>-1</v>
      </c>
      <c r="AH28">
        <v>-1</v>
      </c>
      <c r="AI28">
        <v>0</v>
      </c>
      <c r="AJ28">
        <v>1</v>
      </c>
      <c r="AK28" t="str">
        <f>VLOOKUP(AJ28, Lookups!$B$23:$C$28, 2, FALSE)</f>
        <v>Daylight</v>
      </c>
      <c r="AL28">
        <v>1</v>
      </c>
      <c r="AM28" t="str">
        <f>VLOOKUP(AL28, Lookups!$B$30:$C$39, 2, FALSE)</f>
        <v>Fine / Clear</v>
      </c>
      <c r="AN28">
        <v>1</v>
      </c>
      <c r="AO28" t="str">
        <f>VLOOKUP(AN28, Lookups!$B$41:$C$49, 2, FALSE)</f>
        <v>Dry</v>
      </c>
      <c r="AP28">
        <v>-1</v>
      </c>
      <c r="AQ28">
        <v>-1</v>
      </c>
      <c r="AR28">
        <v>0</v>
      </c>
      <c r="AS28">
        <v>2</v>
      </c>
      <c r="AT28">
        <v>1</v>
      </c>
      <c r="AU28">
        <v>2</v>
      </c>
      <c r="AV28" t="s">
        <v>76</v>
      </c>
      <c r="AW28">
        <v>7</v>
      </c>
      <c r="AX28">
        <v>1</v>
      </c>
      <c r="AY28">
        <v>1</v>
      </c>
      <c r="AZ28">
        <v>0</v>
      </c>
    </row>
    <row r="29" spans="1:52" x14ac:dyDescent="0.35">
      <c r="A29">
        <v>2025221665189</v>
      </c>
      <c r="B29">
        <v>2025</v>
      </c>
      <c r="C29">
        <v>221665189</v>
      </c>
      <c r="D29">
        <v>403859</v>
      </c>
      <c r="E29">
        <v>275468</v>
      </c>
      <c r="F29">
        <v>-1.9447399999999999</v>
      </c>
      <c r="G29">
        <v>52.37724</v>
      </c>
      <c r="H29">
        <v>22</v>
      </c>
      <c r="I29">
        <v>3</v>
      </c>
      <c r="J29" t="str">
        <f>VLOOKUP(I29, Lookups!$B$1:$C$4, 2, FALSE)</f>
        <v>Slight</v>
      </c>
      <c r="K29">
        <v>3</v>
      </c>
      <c r="L29">
        <v>1</v>
      </c>
      <c r="M29" s="1">
        <v>45968</v>
      </c>
      <c r="N29">
        <v>6</v>
      </c>
      <c r="O29" t="str">
        <f>VLOOKUP(N29, Lookups!$B$6:$C$12, 2, FALSE)</f>
        <v>Friday</v>
      </c>
      <c r="P29" s="2">
        <v>0.66666666666666663</v>
      </c>
      <c r="Q29">
        <v>-1</v>
      </c>
      <c r="R29" t="s">
        <v>47</v>
      </c>
      <c r="S29" t="s">
        <v>45</v>
      </c>
      <c r="T29" t="s">
        <v>45</v>
      </c>
      <c r="U29">
        <v>6</v>
      </c>
      <c r="V29" t="str">
        <f>VLOOKUP(U29, Lookups!$B$51:$C$57, 2, FALSE)</f>
        <v>Unclassified</v>
      </c>
      <c r="W29">
        <v>0</v>
      </c>
      <c r="X29" t="s">
        <v>362</v>
      </c>
      <c r="Y29">
        <v>6</v>
      </c>
      <c r="Z29" t="str">
        <f>VLOOKUP(Y29, Lookups!$B$14:$C$21, 2, FALSE)</f>
        <v>Single carriageway</v>
      </c>
      <c r="AA29">
        <v>30</v>
      </c>
      <c r="AB29">
        <v>-1</v>
      </c>
      <c r="AC29">
        <v>0</v>
      </c>
      <c r="AD29">
        <v>-1</v>
      </c>
      <c r="AE29">
        <v>0</v>
      </c>
      <c r="AF29">
        <v>-1</v>
      </c>
      <c r="AG29">
        <v>-1</v>
      </c>
      <c r="AH29">
        <v>-1</v>
      </c>
      <c r="AI29">
        <v>0</v>
      </c>
      <c r="AJ29">
        <v>1</v>
      </c>
      <c r="AK29" t="str">
        <f>VLOOKUP(AJ29, Lookups!$B$23:$C$28, 2, FALSE)</f>
        <v>Daylight</v>
      </c>
      <c r="AL29">
        <v>1</v>
      </c>
      <c r="AM29" t="str">
        <f>VLOOKUP(AL29, Lookups!$B$30:$C$39, 2, FALSE)</f>
        <v>Fine / Clear</v>
      </c>
      <c r="AN29">
        <v>1</v>
      </c>
      <c r="AO29" t="str">
        <f>VLOOKUP(AN29, Lookups!$B$41:$C$49, 2, FALSE)</f>
        <v>Dry</v>
      </c>
      <c r="AP29">
        <v>-1</v>
      </c>
      <c r="AQ29">
        <v>-1</v>
      </c>
      <c r="AR29">
        <v>0</v>
      </c>
      <c r="AS29">
        <v>2</v>
      </c>
      <c r="AT29">
        <v>3</v>
      </c>
      <c r="AU29">
        <v>2</v>
      </c>
      <c r="AV29" t="s">
        <v>77</v>
      </c>
      <c r="AW29">
        <v>3</v>
      </c>
      <c r="AX29">
        <v>1</v>
      </c>
      <c r="AY29">
        <v>0</v>
      </c>
      <c r="AZ29">
        <v>1</v>
      </c>
    </row>
    <row r="30" spans="1:52" x14ac:dyDescent="0.35">
      <c r="A30">
        <v>2025221675428</v>
      </c>
      <c r="B30">
        <v>2025</v>
      </c>
      <c r="C30">
        <v>221675428</v>
      </c>
      <c r="D30">
        <v>404221</v>
      </c>
      <c r="E30">
        <v>246672</v>
      </c>
      <c r="F30">
        <v>-1.93977</v>
      </c>
      <c r="G30">
        <v>52.11835</v>
      </c>
      <c r="H30">
        <v>22</v>
      </c>
      <c r="I30">
        <v>3</v>
      </c>
      <c r="J30" t="str">
        <f>VLOOKUP(I30, Lookups!$B$1:$C$4, 2, FALSE)</f>
        <v>Slight</v>
      </c>
      <c r="K30">
        <v>4</v>
      </c>
      <c r="L30">
        <v>1</v>
      </c>
      <c r="M30" s="1">
        <v>45989</v>
      </c>
      <c r="N30">
        <v>6</v>
      </c>
      <c r="O30" t="str">
        <f>VLOOKUP(N30, Lookups!$B$6:$C$12, 2, FALSE)</f>
        <v>Friday</v>
      </c>
      <c r="P30" s="2">
        <v>0.71527777777777779</v>
      </c>
      <c r="Q30">
        <v>-1</v>
      </c>
      <c r="R30" t="s">
        <v>54</v>
      </c>
      <c r="S30" t="s">
        <v>45</v>
      </c>
      <c r="T30" t="s">
        <v>45</v>
      </c>
      <c r="U30">
        <v>3</v>
      </c>
      <c r="V30" t="str">
        <f>VLOOKUP(U30, Lookups!$B$51:$C$57, 2, FALSE)</f>
        <v>A</v>
      </c>
      <c r="W30">
        <v>46</v>
      </c>
      <c r="X30" t="str">
        <f t="shared" ref="X30:X36" si="5">V30&amp;W30</f>
        <v>A46</v>
      </c>
      <c r="Y30">
        <v>3</v>
      </c>
      <c r="Z30" t="str">
        <f>VLOOKUP(Y30, Lookups!$B$14:$C$21, 2, FALSE)</f>
        <v>Dual carriageway</v>
      </c>
      <c r="AA30">
        <v>70</v>
      </c>
      <c r="AB30">
        <v>-1</v>
      </c>
      <c r="AC30">
        <v>0</v>
      </c>
      <c r="AD30">
        <v>-1</v>
      </c>
      <c r="AE30">
        <v>0</v>
      </c>
      <c r="AF30">
        <v>-1</v>
      </c>
      <c r="AG30">
        <v>-1</v>
      </c>
      <c r="AH30">
        <v>-1</v>
      </c>
      <c r="AI30">
        <v>0</v>
      </c>
      <c r="AJ30">
        <v>6</v>
      </c>
      <c r="AK30" t="str">
        <f>VLOOKUP(AJ30, Lookups!$B$23:$C$28, 2, FALSE)</f>
        <v>Darkness (Unlit)</v>
      </c>
      <c r="AL30">
        <v>1</v>
      </c>
      <c r="AM30" t="str">
        <f>VLOOKUP(AL30, Lookups!$B$30:$C$39, 2, FALSE)</f>
        <v>Fine / Clear</v>
      </c>
      <c r="AN30">
        <v>2</v>
      </c>
      <c r="AO30" t="str">
        <f>VLOOKUP(AN30, Lookups!$B$41:$C$49, 2, FALSE)</f>
        <v>Wet / damp</v>
      </c>
      <c r="AP30">
        <v>-1</v>
      </c>
      <c r="AQ30">
        <v>-1</v>
      </c>
      <c r="AR30">
        <v>0</v>
      </c>
      <c r="AS30">
        <v>2</v>
      </c>
      <c r="AT30">
        <v>1</v>
      </c>
      <c r="AU30">
        <v>1</v>
      </c>
      <c r="AV30" t="s">
        <v>58</v>
      </c>
      <c r="AW30">
        <v>3</v>
      </c>
      <c r="AX30">
        <v>1</v>
      </c>
      <c r="AY30">
        <v>0</v>
      </c>
      <c r="AZ30">
        <v>1</v>
      </c>
    </row>
    <row r="31" spans="1:52" x14ac:dyDescent="0.35">
      <c r="A31">
        <v>2025221553446</v>
      </c>
      <c r="B31">
        <v>2025</v>
      </c>
      <c r="C31">
        <v>221553446</v>
      </c>
      <c r="D31">
        <v>375163</v>
      </c>
      <c r="E31">
        <v>260193</v>
      </c>
      <c r="F31">
        <v>-2.3651399999999998</v>
      </c>
      <c r="G31">
        <v>52.239359999999998</v>
      </c>
      <c r="H31">
        <v>22</v>
      </c>
      <c r="I31">
        <v>3</v>
      </c>
      <c r="J31" t="str">
        <f>VLOOKUP(I31, Lookups!$B$1:$C$4, 2, FALSE)</f>
        <v>Slight</v>
      </c>
      <c r="K31">
        <v>1</v>
      </c>
      <c r="L31">
        <v>1</v>
      </c>
      <c r="M31" s="1">
        <v>45698</v>
      </c>
      <c r="N31">
        <v>2</v>
      </c>
      <c r="O31" t="str">
        <f>VLOOKUP(N31, Lookups!$B$6:$C$12, 2, FALSE)</f>
        <v>Monday</v>
      </c>
      <c r="P31" s="2">
        <v>0.67847222222222225</v>
      </c>
      <c r="Q31">
        <v>-1</v>
      </c>
      <c r="R31" t="s">
        <v>49</v>
      </c>
      <c r="S31" t="s">
        <v>45</v>
      </c>
      <c r="T31" t="s">
        <v>45</v>
      </c>
      <c r="U31">
        <v>4</v>
      </c>
      <c r="V31" t="str">
        <f>VLOOKUP(U31, Lookups!$B$51:$C$57, 2, FALSE)</f>
        <v>B</v>
      </c>
      <c r="W31">
        <v>4204</v>
      </c>
      <c r="X31" t="str">
        <f t="shared" si="5"/>
        <v>B4204</v>
      </c>
      <c r="Y31">
        <v>6</v>
      </c>
      <c r="Z31" t="str">
        <f>VLOOKUP(Y31, Lookups!$B$14:$C$21, 2, FALSE)</f>
        <v>Single carriageway</v>
      </c>
      <c r="AA31">
        <v>60</v>
      </c>
      <c r="AB31">
        <v>-1</v>
      </c>
      <c r="AC31">
        <v>0</v>
      </c>
      <c r="AD31">
        <v>-1</v>
      </c>
      <c r="AE31">
        <v>6</v>
      </c>
      <c r="AF31">
        <v>0</v>
      </c>
      <c r="AG31">
        <v>-1</v>
      </c>
      <c r="AH31">
        <v>-1</v>
      </c>
      <c r="AI31">
        <v>0</v>
      </c>
      <c r="AJ31">
        <v>1</v>
      </c>
      <c r="AK31" t="str">
        <f>VLOOKUP(AJ31, Lookups!$B$23:$C$28, 2, FALSE)</f>
        <v>Daylight</v>
      </c>
      <c r="AL31">
        <v>1</v>
      </c>
      <c r="AM31" t="str">
        <f>VLOOKUP(AL31, Lookups!$B$30:$C$39, 2, FALSE)</f>
        <v>Fine / Clear</v>
      </c>
      <c r="AN31">
        <v>1</v>
      </c>
      <c r="AO31" t="str">
        <f>VLOOKUP(AN31, Lookups!$B$41:$C$49, 2, FALSE)</f>
        <v>Dry</v>
      </c>
      <c r="AP31">
        <v>-1</v>
      </c>
      <c r="AQ31">
        <v>-1</v>
      </c>
      <c r="AR31">
        <v>0</v>
      </c>
      <c r="AS31">
        <v>2</v>
      </c>
      <c r="AT31">
        <v>1</v>
      </c>
      <c r="AU31">
        <v>2</v>
      </c>
      <c r="AV31" t="s">
        <v>78</v>
      </c>
      <c r="AW31">
        <v>3</v>
      </c>
      <c r="AX31">
        <v>1</v>
      </c>
      <c r="AY31">
        <v>0</v>
      </c>
      <c r="AZ31">
        <v>1</v>
      </c>
    </row>
    <row r="32" spans="1:52" x14ac:dyDescent="0.35">
      <c r="A32">
        <v>2025221679936</v>
      </c>
      <c r="B32">
        <v>2025</v>
      </c>
      <c r="C32">
        <v>221679936</v>
      </c>
      <c r="D32">
        <v>388416</v>
      </c>
      <c r="E32">
        <v>254935</v>
      </c>
      <c r="F32">
        <v>-2.1708799999999999</v>
      </c>
      <c r="G32">
        <v>52.192529999999998</v>
      </c>
      <c r="H32">
        <v>22</v>
      </c>
      <c r="I32">
        <v>3</v>
      </c>
      <c r="J32" t="str">
        <f>VLOOKUP(I32, Lookups!$B$1:$C$4, 2, FALSE)</f>
        <v>Slight</v>
      </c>
      <c r="K32">
        <v>1</v>
      </c>
      <c r="L32">
        <v>2</v>
      </c>
      <c r="M32" s="1">
        <v>45999</v>
      </c>
      <c r="N32">
        <v>2</v>
      </c>
      <c r="O32" t="str">
        <f>VLOOKUP(N32, Lookups!$B$6:$C$12, 2, FALSE)</f>
        <v>Monday</v>
      </c>
      <c r="P32" s="2">
        <v>0.58333333333333337</v>
      </c>
      <c r="Q32">
        <v>-1</v>
      </c>
      <c r="R32" t="s">
        <v>60</v>
      </c>
      <c r="S32" t="s">
        <v>45</v>
      </c>
      <c r="T32" t="s">
        <v>45</v>
      </c>
      <c r="U32">
        <v>3</v>
      </c>
      <c r="V32" t="str">
        <f>VLOOKUP(U32, Lookups!$B$51:$C$57, 2, FALSE)</f>
        <v>A</v>
      </c>
      <c r="W32">
        <v>4440</v>
      </c>
      <c r="X32" t="str">
        <f t="shared" si="5"/>
        <v>A4440</v>
      </c>
      <c r="Y32">
        <v>1</v>
      </c>
      <c r="Z32" t="str">
        <f>VLOOKUP(Y32, Lookups!$B$14:$C$21, 2, FALSE)</f>
        <v>Roundabout</v>
      </c>
      <c r="AA32">
        <v>60</v>
      </c>
      <c r="AB32">
        <v>-1</v>
      </c>
      <c r="AC32">
        <v>-1</v>
      </c>
      <c r="AD32">
        <v>4</v>
      </c>
      <c r="AE32">
        <v>4</v>
      </c>
      <c r="AF32">
        <v>4636</v>
      </c>
      <c r="AG32">
        <v>-1</v>
      </c>
      <c r="AH32">
        <v>-1</v>
      </c>
      <c r="AI32">
        <v>0</v>
      </c>
      <c r="AJ32">
        <v>1</v>
      </c>
      <c r="AK32" t="str">
        <f>VLOOKUP(AJ32, Lookups!$B$23:$C$28, 2, FALSE)</f>
        <v>Daylight</v>
      </c>
      <c r="AL32">
        <v>1</v>
      </c>
      <c r="AM32" t="str">
        <f>VLOOKUP(AL32, Lookups!$B$30:$C$39, 2, FALSE)</f>
        <v>Fine / Clear</v>
      </c>
      <c r="AN32">
        <v>2</v>
      </c>
      <c r="AO32" t="str">
        <f>VLOOKUP(AN32, Lookups!$B$41:$C$49, 2, FALSE)</f>
        <v>Wet / damp</v>
      </c>
      <c r="AP32">
        <v>-1</v>
      </c>
      <c r="AQ32">
        <v>-1</v>
      </c>
      <c r="AR32">
        <v>0</v>
      </c>
      <c r="AS32">
        <v>2</v>
      </c>
      <c r="AT32">
        <v>1</v>
      </c>
      <c r="AU32">
        <v>2</v>
      </c>
      <c r="AV32" t="s">
        <v>75</v>
      </c>
      <c r="AW32">
        <v>3</v>
      </c>
      <c r="AX32">
        <v>1</v>
      </c>
      <c r="AY32">
        <v>0</v>
      </c>
      <c r="AZ32">
        <v>1</v>
      </c>
    </row>
    <row r="33" spans="1:52" x14ac:dyDescent="0.35">
      <c r="A33">
        <v>2025221554493</v>
      </c>
      <c r="B33">
        <v>2025</v>
      </c>
      <c r="C33">
        <v>221554493</v>
      </c>
      <c r="D33">
        <v>385407</v>
      </c>
      <c r="E33">
        <v>255280</v>
      </c>
      <c r="F33">
        <v>-2.2149100000000002</v>
      </c>
      <c r="G33">
        <v>52.19556</v>
      </c>
      <c r="H33">
        <v>22</v>
      </c>
      <c r="I33">
        <v>2</v>
      </c>
      <c r="J33" t="str">
        <f>VLOOKUP(I33, Lookups!$B$1:$C$4, 2, FALSE)</f>
        <v>Serious</v>
      </c>
      <c r="K33">
        <v>1</v>
      </c>
      <c r="L33">
        <v>1</v>
      </c>
      <c r="M33" s="1">
        <v>45702</v>
      </c>
      <c r="N33">
        <v>6</v>
      </c>
      <c r="O33" t="str">
        <f>VLOOKUP(N33, Lookups!$B$6:$C$12, 2, FALSE)</f>
        <v>Friday</v>
      </c>
      <c r="P33" s="2">
        <v>0.77083333333333337</v>
      </c>
      <c r="Q33">
        <v>-1</v>
      </c>
      <c r="R33" t="s">
        <v>60</v>
      </c>
      <c r="S33" t="s">
        <v>45</v>
      </c>
      <c r="T33" t="s">
        <v>45</v>
      </c>
      <c r="U33">
        <v>4</v>
      </c>
      <c r="V33" t="str">
        <f>VLOOKUP(U33, Lookups!$B$51:$C$57, 2, FALSE)</f>
        <v>B</v>
      </c>
      <c r="W33">
        <v>4205</v>
      </c>
      <c r="X33" t="str">
        <f t="shared" si="5"/>
        <v>B4205</v>
      </c>
      <c r="Y33">
        <v>6</v>
      </c>
      <c r="Z33" t="str">
        <f>VLOOKUP(Y33, Lookups!$B$14:$C$21, 2, FALSE)</f>
        <v>Single carriageway</v>
      </c>
      <c r="AA33">
        <v>30</v>
      </c>
      <c r="AB33">
        <v>-1</v>
      </c>
      <c r="AC33">
        <v>19</v>
      </c>
      <c r="AD33">
        <v>4</v>
      </c>
      <c r="AE33">
        <v>6</v>
      </c>
      <c r="AF33">
        <v>0</v>
      </c>
      <c r="AG33">
        <v>-1</v>
      </c>
      <c r="AH33">
        <v>-1</v>
      </c>
      <c r="AI33">
        <v>0</v>
      </c>
      <c r="AJ33">
        <v>4</v>
      </c>
      <c r="AK33" t="str">
        <f>VLOOKUP(AJ33, Lookups!$B$23:$C$28, 2, FALSE)</f>
        <v>Darkness (Lit)</v>
      </c>
      <c r="AL33">
        <v>2</v>
      </c>
      <c r="AM33" t="str">
        <f>VLOOKUP(AL33, Lookups!$B$30:$C$39, 2, FALSE)</f>
        <v>Rain</v>
      </c>
      <c r="AN33">
        <v>2</v>
      </c>
      <c r="AO33" t="str">
        <f>VLOOKUP(AN33, Lookups!$B$41:$C$49, 2, FALSE)</f>
        <v>Wet / damp</v>
      </c>
      <c r="AP33">
        <v>-1</v>
      </c>
      <c r="AQ33">
        <v>-1</v>
      </c>
      <c r="AR33">
        <v>0</v>
      </c>
      <c r="AS33">
        <v>1</v>
      </c>
      <c r="AT33">
        <v>1</v>
      </c>
      <c r="AU33">
        <v>2</v>
      </c>
      <c r="AV33" t="s">
        <v>79</v>
      </c>
      <c r="AW33">
        <v>7</v>
      </c>
      <c r="AX33">
        <v>1</v>
      </c>
      <c r="AY33">
        <v>1</v>
      </c>
      <c r="AZ33">
        <v>0</v>
      </c>
    </row>
    <row r="34" spans="1:52" x14ac:dyDescent="0.35">
      <c r="A34">
        <v>2025221629484</v>
      </c>
      <c r="B34">
        <v>2025</v>
      </c>
      <c r="C34">
        <v>221629484</v>
      </c>
      <c r="D34">
        <v>387340</v>
      </c>
      <c r="E34">
        <v>274681</v>
      </c>
      <c r="F34">
        <v>-2.18737</v>
      </c>
      <c r="G34">
        <v>52.37003</v>
      </c>
      <c r="H34">
        <v>22</v>
      </c>
      <c r="I34">
        <v>3</v>
      </c>
      <c r="J34" t="str">
        <f>VLOOKUP(I34, Lookups!$B$1:$C$4, 2, FALSE)</f>
        <v>Slight</v>
      </c>
      <c r="K34">
        <v>2</v>
      </c>
      <c r="L34">
        <v>1</v>
      </c>
      <c r="M34" s="1">
        <v>45884</v>
      </c>
      <c r="N34">
        <v>6</v>
      </c>
      <c r="O34" t="str">
        <f>VLOOKUP(N34, Lookups!$B$6:$C$12, 2, FALSE)</f>
        <v>Friday</v>
      </c>
      <c r="P34" s="2">
        <v>0.82291666666666663</v>
      </c>
      <c r="Q34">
        <v>-1</v>
      </c>
      <c r="R34" t="s">
        <v>44</v>
      </c>
      <c r="S34" t="s">
        <v>45</v>
      </c>
      <c r="T34" t="s">
        <v>45</v>
      </c>
      <c r="U34">
        <v>3</v>
      </c>
      <c r="V34" t="str">
        <f>VLOOKUP(U34, Lookups!$B$51:$C$57, 2, FALSE)</f>
        <v>A</v>
      </c>
      <c r="W34">
        <v>450</v>
      </c>
      <c r="X34" t="str">
        <f t="shared" si="5"/>
        <v>A450</v>
      </c>
      <c r="Y34">
        <v>6</v>
      </c>
      <c r="Z34" t="str">
        <f>VLOOKUP(Y34, Lookups!$B$14:$C$21, 2, FALSE)</f>
        <v>Single carriageway</v>
      </c>
      <c r="AA34">
        <v>40</v>
      </c>
      <c r="AB34">
        <v>-1</v>
      </c>
      <c r="AC34">
        <v>0</v>
      </c>
      <c r="AD34">
        <v>-1</v>
      </c>
      <c r="AE34">
        <v>6</v>
      </c>
      <c r="AF34">
        <v>0</v>
      </c>
      <c r="AG34">
        <v>-1</v>
      </c>
      <c r="AH34">
        <v>-1</v>
      </c>
      <c r="AI34">
        <v>0</v>
      </c>
      <c r="AJ34">
        <v>1</v>
      </c>
      <c r="AK34" t="str">
        <f>VLOOKUP(AJ34, Lookups!$B$23:$C$28, 2, FALSE)</f>
        <v>Daylight</v>
      </c>
      <c r="AL34">
        <v>1</v>
      </c>
      <c r="AM34" t="str">
        <f>VLOOKUP(AL34, Lookups!$B$30:$C$39, 2, FALSE)</f>
        <v>Fine / Clear</v>
      </c>
      <c r="AN34">
        <v>1</v>
      </c>
      <c r="AO34" t="str">
        <f>VLOOKUP(AN34, Lookups!$B$41:$C$49, 2, FALSE)</f>
        <v>Dry</v>
      </c>
      <c r="AP34">
        <v>-1</v>
      </c>
      <c r="AQ34">
        <v>-1</v>
      </c>
      <c r="AR34">
        <v>0</v>
      </c>
      <c r="AS34">
        <v>2</v>
      </c>
      <c r="AT34">
        <v>1</v>
      </c>
      <c r="AU34">
        <v>2</v>
      </c>
      <c r="AV34" t="s">
        <v>80</v>
      </c>
      <c r="AW34">
        <v>3</v>
      </c>
      <c r="AX34">
        <v>1</v>
      </c>
      <c r="AY34">
        <v>0</v>
      </c>
      <c r="AZ34">
        <v>1</v>
      </c>
    </row>
    <row r="35" spans="1:52" x14ac:dyDescent="0.35">
      <c r="A35">
        <v>2025221630164</v>
      </c>
      <c r="B35">
        <v>2025</v>
      </c>
      <c r="C35">
        <v>221630164</v>
      </c>
      <c r="D35">
        <v>388000</v>
      </c>
      <c r="E35">
        <v>262897</v>
      </c>
      <c r="F35">
        <v>-2.1772499999999999</v>
      </c>
      <c r="G35">
        <v>52.264099999999999</v>
      </c>
      <c r="H35">
        <v>22</v>
      </c>
      <c r="I35">
        <v>1</v>
      </c>
      <c r="J35" t="str">
        <f>VLOOKUP(I35, Lookups!$B$1:$C$4, 2, FALSE)</f>
        <v>Fatal</v>
      </c>
      <c r="K35">
        <v>2</v>
      </c>
      <c r="L35">
        <v>1</v>
      </c>
      <c r="M35" s="1">
        <v>45886</v>
      </c>
      <c r="N35">
        <v>1</v>
      </c>
      <c r="O35" t="str">
        <f>VLOOKUP(N35, Lookups!$B$6:$C$12, 2, FALSE)</f>
        <v>Sunday</v>
      </c>
      <c r="P35" s="2">
        <v>0.63888888888888884</v>
      </c>
      <c r="Q35">
        <v>-1</v>
      </c>
      <c r="R35" t="s">
        <v>54</v>
      </c>
      <c r="S35" t="s">
        <v>45</v>
      </c>
      <c r="T35" t="s">
        <v>45</v>
      </c>
      <c r="U35">
        <v>3</v>
      </c>
      <c r="V35" t="str">
        <f>VLOOKUP(U35, Lookups!$B$51:$C$57, 2, FALSE)</f>
        <v>A</v>
      </c>
      <c r="W35">
        <v>4133</v>
      </c>
      <c r="X35" t="str">
        <f t="shared" si="5"/>
        <v>A4133</v>
      </c>
      <c r="Y35">
        <v>1</v>
      </c>
      <c r="Z35" t="str">
        <f>VLOOKUP(Y35, Lookups!$B$14:$C$21, 2, FALSE)</f>
        <v>Roundabout</v>
      </c>
      <c r="AA35">
        <v>60</v>
      </c>
      <c r="AB35">
        <v>-1</v>
      </c>
      <c r="AC35">
        <v>-1</v>
      </c>
      <c r="AD35">
        <v>4</v>
      </c>
      <c r="AE35">
        <v>3</v>
      </c>
      <c r="AF35">
        <v>38</v>
      </c>
      <c r="AG35">
        <v>-1</v>
      </c>
      <c r="AH35">
        <v>-1</v>
      </c>
      <c r="AI35">
        <v>0</v>
      </c>
      <c r="AJ35">
        <v>1</v>
      </c>
      <c r="AK35" t="str">
        <f>VLOOKUP(AJ35, Lookups!$B$23:$C$28, 2, FALSE)</f>
        <v>Daylight</v>
      </c>
      <c r="AL35">
        <v>1</v>
      </c>
      <c r="AM35" t="str">
        <f>VLOOKUP(AL35, Lookups!$B$30:$C$39, 2, FALSE)</f>
        <v>Fine / Clear</v>
      </c>
      <c r="AN35">
        <v>1</v>
      </c>
      <c r="AO35" t="str">
        <f>VLOOKUP(AN35, Lookups!$B$41:$C$49, 2, FALSE)</f>
        <v>Dry</v>
      </c>
      <c r="AP35">
        <v>-1</v>
      </c>
      <c r="AQ35">
        <v>-1</v>
      </c>
      <c r="AR35">
        <v>0</v>
      </c>
      <c r="AS35">
        <v>2</v>
      </c>
      <c r="AT35">
        <v>1</v>
      </c>
      <c r="AU35">
        <v>2</v>
      </c>
      <c r="AV35" t="s">
        <v>81</v>
      </c>
      <c r="AW35">
        <v>1</v>
      </c>
      <c r="AX35">
        <v>1</v>
      </c>
      <c r="AY35">
        <v>0</v>
      </c>
      <c r="AZ35">
        <v>0</v>
      </c>
    </row>
    <row r="36" spans="1:52" x14ac:dyDescent="0.35">
      <c r="A36">
        <v>2025221618093</v>
      </c>
      <c r="B36">
        <v>2025</v>
      </c>
      <c r="C36">
        <v>221618093</v>
      </c>
      <c r="D36">
        <v>378003</v>
      </c>
      <c r="E36">
        <v>233462</v>
      </c>
      <c r="F36">
        <v>-2.3218200000000002</v>
      </c>
      <c r="G36">
        <v>51.999160000000003</v>
      </c>
      <c r="H36">
        <v>22</v>
      </c>
      <c r="I36">
        <v>3</v>
      </c>
      <c r="J36" t="str">
        <f>VLOOKUP(I36, Lookups!$B$1:$C$4, 2, FALSE)</f>
        <v>Slight</v>
      </c>
      <c r="K36">
        <v>2</v>
      </c>
      <c r="L36">
        <v>1</v>
      </c>
      <c r="M36" s="1">
        <v>45856</v>
      </c>
      <c r="N36">
        <v>6</v>
      </c>
      <c r="O36" t="str">
        <f>VLOOKUP(N36, Lookups!$B$6:$C$12, 2, FALSE)</f>
        <v>Friday</v>
      </c>
      <c r="P36" s="2">
        <v>0.81805555555555554</v>
      </c>
      <c r="Q36">
        <v>-1</v>
      </c>
      <c r="R36" t="s">
        <v>49</v>
      </c>
      <c r="S36" t="s">
        <v>45</v>
      </c>
      <c r="T36" t="s">
        <v>45</v>
      </c>
      <c r="U36">
        <v>4</v>
      </c>
      <c r="V36" t="str">
        <f>VLOOKUP(U36, Lookups!$B$51:$C$57, 2, FALSE)</f>
        <v>B</v>
      </c>
      <c r="W36">
        <v>4208</v>
      </c>
      <c r="X36" t="str">
        <f t="shared" si="5"/>
        <v>B4208</v>
      </c>
      <c r="Y36">
        <v>6</v>
      </c>
      <c r="Z36" t="str">
        <f>VLOOKUP(Y36, Lookups!$B$14:$C$21, 2, FALSE)</f>
        <v>Single carriageway</v>
      </c>
      <c r="AA36">
        <v>60</v>
      </c>
      <c r="AB36">
        <v>-1</v>
      </c>
      <c r="AC36">
        <v>13</v>
      </c>
      <c r="AD36">
        <v>3</v>
      </c>
      <c r="AE36">
        <v>6</v>
      </c>
      <c r="AF36">
        <v>0</v>
      </c>
      <c r="AG36">
        <v>-1</v>
      </c>
      <c r="AH36">
        <v>-1</v>
      </c>
      <c r="AI36">
        <v>0</v>
      </c>
      <c r="AJ36">
        <v>1</v>
      </c>
      <c r="AK36" t="str">
        <f>VLOOKUP(AJ36, Lookups!$B$23:$C$28, 2, FALSE)</f>
        <v>Daylight</v>
      </c>
      <c r="AL36">
        <v>1</v>
      </c>
      <c r="AM36" t="str">
        <f>VLOOKUP(AL36, Lookups!$B$30:$C$39, 2, FALSE)</f>
        <v>Fine / Clear</v>
      </c>
      <c r="AN36">
        <v>1</v>
      </c>
      <c r="AO36" t="str">
        <f>VLOOKUP(AN36, Lookups!$B$41:$C$49, 2, FALSE)</f>
        <v>Dry</v>
      </c>
      <c r="AP36">
        <v>-1</v>
      </c>
      <c r="AQ36">
        <v>-1</v>
      </c>
      <c r="AR36">
        <v>0</v>
      </c>
      <c r="AS36">
        <v>2</v>
      </c>
      <c r="AT36">
        <v>1</v>
      </c>
      <c r="AU36">
        <v>2</v>
      </c>
      <c r="AV36" t="s">
        <v>82</v>
      </c>
      <c r="AW36">
        <v>3</v>
      </c>
      <c r="AX36">
        <v>1</v>
      </c>
      <c r="AY36">
        <v>0</v>
      </c>
      <c r="AZ36">
        <v>1</v>
      </c>
    </row>
    <row r="37" spans="1:52" x14ac:dyDescent="0.35">
      <c r="A37">
        <v>2025221543333</v>
      </c>
      <c r="B37">
        <v>2025</v>
      </c>
      <c r="C37">
        <v>221543333</v>
      </c>
      <c r="D37">
        <v>409508</v>
      </c>
      <c r="E37">
        <v>237508</v>
      </c>
      <c r="F37">
        <v>-1.8628100000000001</v>
      </c>
      <c r="G37">
        <v>52.035899999999998</v>
      </c>
      <c r="H37">
        <v>22</v>
      </c>
      <c r="I37">
        <v>2</v>
      </c>
      <c r="J37" t="str">
        <f>VLOOKUP(I37, Lookups!$B$1:$C$4, 2, FALSE)</f>
        <v>Serious</v>
      </c>
      <c r="K37">
        <v>1</v>
      </c>
      <c r="L37">
        <v>1</v>
      </c>
      <c r="M37" s="1">
        <v>45674</v>
      </c>
      <c r="N37">
        <v>6</v>
      </c>
      <c r="O37" t="str">
        <f>VLOOKUP(N37, Lookups!$B$6:$C$12, 2, FALSE)</f>
        <v>Friday</v>
      </c>
      <c r="P37" s="2">
        <v>0.55763888888888891</v>
      </c>
      <c r="Q37">
        <v>-1</v>
      </c>
      <c r="R37" t="s">
        <v>54</v>
      </c>
      <c r="S37" t="s">
        <v>45</v>
      </c>
      <c r="T37" t="s">
        <v>45</v>
      </c>
      <c r="U37">
        <v>6</v>
      </c>
      <c r="V37" t="str">
        <f>VLOOKUP(U37, Lookups!$B$51:$C$57, 2, FALSE)</f>
        <v>Unclassified</v>
      </c>
      <c r="W37">
        <v>0</v>
      </c>
      <c r="X37" t="s">
        <v>362</v>
      </c>
      <c r="Y37">
        <v>6</v>
      </c>
      <c r="Z37" t="str">
        <f>VLOOKUP(Y37, Lookups!$B$14:$C$21, 2, FALSE)</f>
        <v>Single carriageway</v>
      </c>
      <c r="AA37">
        <v>30</v>
      </c>
      <c r="AB37">
        <v>-1</v>
      </c>
      <c r="AC37">
        <v>0</v>
      </c>
      <c r="AD37">
        <v>-1</v>
      </c>
      <c r="AE37">
        <v>6</v>
      </c>
      <c r="AF37">
        <v>0</v>
      </c>
      <c r="AG37">
        <v>-1</v>
      </c>
      <c r="AH37">
        <v>-1</v>
      </c>
      <c r="AI37">
        <v>0</v>
      </c>
      <c r="AJ37">
        <v>1</v>
      </c>
      <c r="AK37" t="str">
        <f>VLOOKUP(AJ37, Lookups!$B$23:$C$28, 2, FALSE)</f>
        <v>Daylight</v>
      </c>
      <c r="AL37">
        <v>1</v>
      </c>
      <c r="AM37" t="str">
        <f>VLOOKUP(AL37, Lookups!$B$30:$C$39, 2, FALSE)</f>
        <v>Fine / Clear</v>
      </c>
      <c r="AN37">
        <v>1</v>
      </c>
      <c r="AO37" t="str">
        <f>VLOOKUP(AN37, Lookups!$B$41:$C$49, 2, FALSE)</f>
        <v>Dry</v>
      </c>
      <c r="AP37">
        <v>-1</v>
      </c>
      <c r="AQ37">
        <v>-1</v>
      </c>
      <c r="AR37">
        <v>0</v>
      </c>
      <c r="AS37">
        <v>2</v>
      </c>
      <c r="AT37">
        <v>1</v>
      </c>
      <c r="AU37">
        <v>2</v>
      </c>
      <c r="AV37" t="s">
        <v>83</v>
      </c>
      <c r="AW37">
        <v>6</v>
      </c>
      <c r="AX37">
        <v>1</v>
      </c>
      <c r="AY37">
        <v>1</v>
      </c>
      <c r="AZ37">
        <v>0</v>
      </c>
    </row>
    <row r="38" spans="1:52" x14ac:dyDescent="0.35">
      <c r="A38">
        <v>2025221565797</v>
      </c>
      <c r="B38">
        <v>2025</v>
      </c>
      <c r="C38">
        <v>221565797</v>
      </c>
      <c r="D38">
        <v>382260</v>
      </c>
      <c r="E38">
        <v>271460</v>
      </c>
      <c r="F38">
        <v>-2.2618100000000001</v>
      </c>
      <c r="G38">
        <v>52.34093</v>
      </c>
      <c r="H38">
        <v>22</v>
      </c>
      <c r="I38">
        <v>3</v>
      </c>
      <c r="J38" t="str">
        <f>VLOOKUP(I38, Lookups!$B$1:$C$4, 2, FALSE)</f>
        <v>Slight</v>
      </c>
      <c r="K38">
        <v>2</v>
      </c>
      <c r="L38">
        <v>2</v>
      </c>
      <c r="M38" s="1">
        <v>45731</v>
      </c>
      <c r="N38">
        <v>7</v>
      </c>
      <c r="O38" t="str">
        <f>VLOOKUP(N38, Lookups!$B$6:$C$12, 2, FALSE)</f>
        <v>Saturday</v>
      </c>
      <c r="P38" s="2">
        <v>0.71527777777777779</v>
      </c>
      <c r="Q38">
        <v>-1</v>
      </c>
      <c r="R38" t="s">
        <v>44</v>
      </c>
      <c r="S38" t="s">
        <v>45</v>
      </c>
      <c r="T38" t="s">
        <v>45</v>
      </c>
      <c r="U38">
        <v>4</v>
      </c>
      <c r="V38" t="str">
        <f>VLOOKUP(U38, Lookups!$B$51:$C$57, 2, FALSE)</f>
        <v>B</v>
      </c>
      <c r="W38">
        <v>4193</v>
      </c>
      <c r="X38" t="str">
        <f t="shared" ref="X38:X42" si="6">V38&amp;W38</f>
        <v>B4193</v>
      </c>
      <c r="Y38">
        <v>6</v>
      </c>
      <c r="Z38" t="str">
        <f>VLOOKUP(Y38, Lookups!$B$14:$C$21, 2, FALSE)</f>
        <v>Single carriageway</v>
      </c>
      <c r="AA38">
        <v>30</v>
      </c>
      <c r="AB38">
        <v>-1</v>
      </c>
      <c r="AC38">
        <v>13</v>
      </c>
      <c r="AD38">
        <v>4</v>
      </c>
      <c r="AE38">
        <v>6</v>
      </c>
      <c r="AF38">
        <v>0</v>
      </c>
      <c r="AG38">
        <v>-1</v>
      </c>
      <c r="AH38">
        <v>-1</v>
      </c>
      <c r="AI38">
        <v>0</v>
      </c>
      <c r="AJ38">
        <v>1</v>
      </c>
      <c r="AK38" t="str">
        <f>VLOOKUP(AJ38, Lookups!$B$23:$C$28, 2, FALSE)</f>
        <v>Daylight</v>
      </c>
      <c r="AL38">
        <v>1</v>
      </c>
      <c r="AM38" t="str">
        <f>VLOOKUP(AL38, Lookups!$B$30:$C$39, 2, FALSE)</f>
        <v>Fine / Clear</v>
      </c>
      <c r="AN38">
        <v>1</v>
      </c>
      <c r="AO38" t="str">
        <f>VLOOKUP(AN38, Lookups!$B$41:$C$49, 2, FALSE)</f>
        <v>Dry</v>
      </c>
      <c r="AP38">
        <v>-1</v>
      </c>
      <c r="AQ38">
        <v>-1</v>
      </c>
      <c r="AR38">
        <v>0</v>
      </c>
      <c r="AS38">
        <v>1</v>
      </c>
      <c r="AT38">
        <v>3</v>
      </c>
      <c r="AU38">
        <v>2</v>
      </c>
      <c r="AV38" t="s">
        <v>84</v>
      </c>
      <c r="AW38">
        <v>3</v>
      </c>
      <c r="AX38">
        <v>1</v>
      </c>
      <c r="AY38">
        <v>0</v>
      </c>
      <c r="AZ38">
        <v>1</v>
      </c>
    </row>
    <row r="39" spans="1:52" x14ac:dyDescent="0.35">
      <c r="A39">
        <v>2025221565483</v>
      </c>
      <c r="B39">
        <v>2025</v>
      </c>
      <c r="C39">
        <v>221565483</v>
      </c>
      <c r="D39">
        <v>381990</v>
      </c>
      <c r="E39">
        <v>277698</v>
      </c>
      <c r="F39">
        <v>-2.2661099999999998</v>
      </c>
      <c r="G39">
        <v>52.396999999999998</v>
      </c>
      <c r="H39">
        <v>22</v>
      </c>
      <c r="I39">
        <v>2</v>
      </c>
      <c r="J39" t="str">
        <f>VLOOKUP(I39, Lookups!$B$1:$C$4, 2, FALSE)</f>
        <v>Serious</v>
      </c>
      <c r="K39">
        <v>4</v>
      </c>
      <c r="L39">
        <v>1</v>
      </c>
      <c r="M39" s="1">
        <v>45731</v>
      </c>
      <c r="N39">
        <v>7</v>
      </c>
      <c r="O39" t="str">
        <f>VLOOKUP(N39, Lookups!$B$6:$C$12, 2, FALSE)</f>
        <v>Saturday</v>
      </c>
      <c r="P39" s="2">
        <v>0.91666666666666663</v>
      </c>
      <c r="Q39">
        <v>-1</v>
      </c>
      <c r="R39" t="s">
        <v>44</v>
      </c>
      <c r="S39" t="s">
        <v>45</v>
      </c>
      <c r="T39" t="s">
        <v>45</v>
      </c>
      <c r="U39">
        <v>3</v>
      </c>
      <c r="V39" t="str">
        <f>VLOOKUP(U39, Lookups!$B$51:$C$57, 2, FALSE)</f>
        <v>A</v>
      </c>
      <c r="W39">
        <v>442</v>
      </c>
      <c r="X39" t="str">
        <f t="shared" si="6"/>
        <v>A442</v>
      </c>
      <c r="Y39">
        <v>6</v>
      </c>
      <c r="Z39" t="str">
        <f>VLOOKUP(Y39, Lookups!$B$14:$C$21, 2, FALSE)</f>
        <v>Single carriageway</v>
      </c>
      <c r="AA39">
        <v>30</v>
      </c>
      <c r="AB39">
        <v>-1</v>
      </c>
      <c r="AC39">
        <v>0</v>
      </c>
      <c r="AD39">
        <v>-1</v>
      </c>
      <c r="AE39">
        <v>6</v>
      </c>
      <c r="AF39">
        <v>0</v>
      </c>
      <c r="AG39">
        <v>-1</v>
      </c>
      <c r="AH39">
        <v>-1</v>
      </c>
      <c r="AI39">
        <v>0</v>
      </c>
      <c r="AJ39">
        <v>4</v>
      </c>
      <c r="AK39" t="str">
        <f>VLOOKUP(AJ39, Lookups!$B$23:$C$28, 2, FALSE)</f>
        <v>Darkness (Lit)</v>
      </c>
      <c r="AL39">
        <v>1</v>
      </c>
      <c r="AM39" t="str">
        <f>VLOOKUP(AL39, Lookups!$B$30:$C$39, 2, FALSE)</f>
        <v>Fine / Clear</v>
      </c>
      <c r="AN39">
        <v>1</v>
      </c>
      <c r="AO39" t="str">
        <f>VLOOKUP(AN39, Lookups!$B$41:$C$49, 2, FALSE)</f>
        <v>Dry</v>
      </c>
      <c r="AP39">
        <v>-1</v>
      </c>
      <c r="AQ39">
        <v>-1</v>
      </c>
      <c r="AR39">
        <v>0</v>
      </c>
      <c r="AS39">
        <v>1</v>
      </c>
      <c r="AT39">
        <v>1</v>
      </c>
      <c r="AU39">
        <v>2</v>
      </c>
      <c r="AV39" t="s">
        <v>85</v>
      </c>
      <c r="AW39">
        <v>5</v>
      </c>
      <c r="AX39">
        <v>1</v>
      </c>
      <c r="AY39">
        <v>1</v>
      </c>
      <c r="AZ39">
        <v>0</v>
      </c>
    </row>
    <row r="40" spans="1:52" x14ac:dyDescent="0.35">
      <c r="A40">
        <v>2025221692311</v>
      </c>
      <c r="B40">
        <v>2025</v>
      </c>
      <c r="C40">
        <v>221692311</v>
      </c>
      <c r="D40">
        <v>390008</v>
      </c>
      <c r="E40">
        <v>242661</v>
      </c>
      <c r="F40">
        <v>-2.14723</v>
      </c>
      <c r="G40">
        <v>52.082210000000003</v>
      </c>
      <c r="H40">
        <v>22</v>
      </c>
      <c r="I40">
        <v>3</v>
      </c>
      <c r="J40" t="str">
        <f>VLOOKUP(I40, Lookups!$B$1:$C$4, 2, FALSE)</f>
        <v>Slight</v>
      </c>
      <c r="K40">
        <v>1</v>
      </c>
      <c r="L40">
        <v>1</v>
      </c>
      <c r="M40" s="1">
        <v>46021</v>
      </c>
      <c r="N40">
        <v>3</v>
      </c>
      <c r="O40" t="str">
        <f>VLOOKUP(N40, Lookups!$B$6:$C$12, 2, FALSE)</f>
        <v>Tuesday</v>
      </c>
      <c r="P40" s="2">
        <v>0.6791666666666667</v>
      </c>
      <c r="Q40">
        <v>-1</v>
      </c>
      <c r="R40" t="s">
        <v>54</v>
      </c>
      <c r="S40" t="s">
        <v>45</v>
      </c>
      <c r="T40" t="s">
        <v>45</v>
      </c>
      <c r="U40">
        <v>3</v>
      </c>
      <c r="V40" t="str">
        <f>VLOOKUP(U40, Lookups!$B$51:$C$57, 2, FALSE)</f>
        <v>A</v>
      </c>
      <c r="W40">
        <v>4104</v>
      </c>
      <c r="X40" t="str">
        <f t="shared" si="6"/>
        <v>A4104</v>
      </c>
      <c r="Y40">
        <v>6</v>
      </c>
      <c r="Z40" t="str">
        <f>VLOOKUP(Y40, Lookups!$B$14:$C$21, 2, FALSE)</f>
        <v>Single carriageway</v>
      </c>
      <c r="AA40">
        <v>60</v>
      </c>
      <c r="AB40">
        <v>-1</v>
      </c>
      <c r="AC40">
        <v>0</v>
      </c>
      <c r="AD40">
        <v>-1</v>
      </c>
      <c r="AE40">
        <v>6</v>
      </c>
      <c r="AF40">
        <v>0</v>
      </c>
      <c r="AG40">
        <v>-1</v>
      </c>
      <c r="AH40">
        <v>-1</v>
      </c>
      <c r="AI40">
        <v>0</v>
      </c>
      <c r="AJ40">
        <v>6</v>
      </c>
      <c r="AK40" t="str">
        <f>VLOOKUP(AJ40, Lookups!$B$23:$C$28, 2, FALSE)</f>
        <v>Darkness (Unlit)</v>
      </c>
      <c r="AL40">
        <v>1</v>
      </c>
      <c r="AM40" t="str">
        <f>VLOOKUP(AL40, Lookups!$B$30:$C$39, 2, FALSE)</f>
        <v>Fine / Clear</v>
      </c>
      <c r="AN40">
        <v>2</v>
      </c>
      <c r="AO40" t="str">
        <f>VLOOKUP(AN40, Lookups!$B$41:$C$49, 2, FALSE)</f>
        <v>Wet / damp</v>
      </c>
      <c r="AP40">
        <v>-1</v>
      </c>
      <c r="AQ40">
        <v>-1</v>
      </c>
      <c r="AR40">
        <v>0</v>
      </c>
      <c r="AS40">
        <v>2</v>
      </c>
      <c r="AT40">
        <v>1</v>
      </c>
      <c r="AU40">
        <v>2</v>
      </c>
      <c r="AV40" t="s">
        <v>86</v>
      </c>
      <c r="AW40">
        <v>3</v>
      </c>
      <c r="AX40">
        <v>1</v>
      </c>
      <c r="AY40">
        <v>0</v>
      </c>
      <c r="AZ40">
        <v>1</v>
      </c>
    </row>
    <row r="41" spans="1:52" x14ac:dyDescent="0.35">
      <c r="A41">
        <v>2025221563792</v>
      </c>
      <c r="B41">
        <v>2025</v>
      </c>
      <c r="C41">
        <v>221563792</v>
      </c>
      <c r="D41">
        <v>382441</v>
      </c>
      <c r="E41">
        <v>275537</v>
      </c>
      <c r="F41">
        <v>-2.2593700000000001</v>
      </c>
      <c r="G41">
        <v>52.377589999999998</v>
      </c>
      <c r="H41">
        <v>22</v>
      </c>
      <c r="I41">
        <v>3</v>
      </c>
      <c r="J41" t="str">
        <f>VLOOKUP(I41, Lookups!$B$1:$C$4, 2, FALSE)</f>
        <v>Slight</v>
      </c>
      <c r="K41">
        <v>2</v>
      </c>
      <c r="L41">
        <v>1</v>
      </c>
      <c r="M41" s="1">
        <v>45727</v>
      </c>
      <c r="N41">
        <v>3</v>
      </c>
      <c r="O41" t="str">
        <f>VLOOKUP(N41, Lookups!$B$6:$C$12, 2, FALSE)</f>
        <v>Tuesday</v>
      </c>
      <c r="P41" s="2">
        <v>0.58680555555555558</v>
      </c>
      <c r="Q41">
        <v>-1</v>
      </c>
      <c r="R41" t="s">
        <v>44</v>
      </c>
      <c r="S41" t="s">
        <v>45</v>
      </c>
      <c r="T41" t="s">
        <v>45</v>
      </c>
      <c r="U41">
        <v>3</v>
      </c>
      <c r="V41" t="str">
        <f>VLOOKUP(U41, Lookups!$B$51:$C$57, 2, FALSE)</f>
        <v>A</v>
      </c>
      <c r="W41">
        <v>451</v>
      </c>
      <c r="X41" t="str">
        <f t="shared" si="6"/>
        <v>A451</v>
      </c>
      <c r="Y41">
        <v>6</v>
      </c>
      <c r="Z41" t="str">
        <f>VLOOKUP(Y41, Lookups!$B$14:$C$21, 2, FALSE)</f>
        <v>Single carriageway</v>
      </c>
      <c r="AA41">
        <v>30</v>
      </c>
      <c r="AB41">
        <v>-1</v>
      </c>
      <c r="AC41">
        <v>13</v>
      </c>
      <c r="AD41">
        <v>2</v>
      </c>
      <c r="AE41">
        <v>3</v>
      </c>
      <c r="AF41">
        <v>4535</v>
      </c>
      <c r="AG41">
        <v>-1</v>
      </c>
      <c r="AH41">
        <v>-1</v>
      </c>
      <c r="AI41">
        <v>0</v>
      </c>
      <c r="AJ41">
        <v>1</v>
      </c>
      <c r="AK41" t="str">
        <f>VLOOKUP(AJ41, Lookups!$B$23:$C$28, 2, FALSE)</f>
        <v>Daylight</v>
      </c>
      <c r="AL41">
        <v>1</v>
      </c>
      <c r="AM41" t="str">
        <f>VLOOKUP(AL41, Lookups!$B$30:$C$39, 2, FALSE)</f>
        <v>Fine / Clear</v>
      </c>
      <c r="AN41">
        <v>1</v>
      </c>
      <c r="AO41" t="str">
        <f>VLOOKUP(AN41, Lookups!$B$41:$C$49, 2, FALSE)</f>
        <v>Dry</v>
      </c>
      <c r="AP41">
        <v>-1</v>
      </c>
      <c r="AQ41">
        <v>-1</v>
      </c>
      <c r="AR41">
        <v>0</v>
      </c>
      <c r="AS41">
        <v>1</v>
      </c>
      <c r="AT41">
        <v>3</v>
      </c>
      <c r="AU41">
        <v>2</v>
      </c>
      <c r="AV41" t="s">
        <v>87</v>
      </c>
      <c r="AW41">
        <v>3</v>
      </c>
      <c r="AX41">
        <v>1</v>
      </c>
      <c r="AY41">
        <v>0</v>
      </c>
      <c r="AZ41">
        <v>1</v>
      </c>
    </row>
    <row r="42" spans="1:52" x14ac:dyDescent="0.35">
      <c r="A42">
        <v>2025221573069</v>
      </c>
      <c r="B42">
        <v>2025</v>
      </c>
      <c r="C42">
        <v>221573069</v>
      </c>
      <c r="D42">
        <v>384950</v>
      </c>
      <c r="E42">
        <v>255138</v>
      </c>
      <c r="F42">
        <v>-2.22159</v>
      </c>
      <c r="G42">
        <v>52.194270000000003</v>
      </c>
      <c r="H42">
        <v>22</v>
      </c>
      <c r="I42">
        <v>3</v>
      </c>
      <c r="J42" t="str">
        <f>VLOOKUP(I42, Lookups!$B$1:$C$4, 2, FALSE)</f>
        <v>Slight</v>
      </c>
      <c r="K42">
        <v>2</v>
      </c>
      <c r="L42">
        <v>1</v>
      </c>
      <c r="M42" s="1">
        <v>45750</v>
      </c>
      <c r="N42">
        <v>5</v>
      </c>
      <c r="O42" t="str">
        <f>VLOOKUP(N42, Lookups!$B$6:$C$12, 2, FALSE)</f>
        <v>Thursday</v>
      </c>
      <c r="P42" s="2">
        <v>0.45347222222222222</v>
      </c>
      <c r="Q42">
        <v>-1</v>
      </c>
      <c r="R42" t="s">
        <v>60</v>
      </c>
      <c r="S42" t="s">
        <v>45</v>
      </c>
      <c r="T42" t="s">
        <v>45</v>
      </c>
      <c r="U42">
        <v>3</v>
      </c>
      <c r="V42" t="str">
        <f>VLOOKUP(U42, Lookups!$B$51:$C$57, 2, FALSE)</f>
        <v>A</v>
      </c>
      <c r="W42">
        <v>38</v>
      </c>
      <c r="X42" t="str">
        <f t="shared" si="6"/>
        <v>A38</v>
      </c>
      <c r="Y42">
        <v>2</v>
      </c>
      <c r="Z42" t="str">
        <f>VLOOKUP(Y42, Lookups!$B$14:$C$21, 2, FALSE)</f>
        <v>One way street</v>
      </c>
      <c r="AA42">
        <v>30</v>
      </c>
      <c r="AB42">
        <v>-1</v>
      </c>
      <c r="AC42">
        <v>16</v>
      </c>
      <c r="AD42">
        <v>2</v>
      </c>
      <c r="AE42">
        <v>4</v>
      </c>
      <c r="AF42">
        <v>4205</v>
      </c>
      <c r="AG42">
        <v>-1</v>
      </c>
      <c r="AH42">
        <v>-1</v>
      </c>
      <c r="AI42">
        <v>15</v>
      </c>
      <c r="AJ42">
        <v>1</v>
      </c>
      <c r="AK42" t="str">
        <f>VLOOKUP(AJ42, Lookups!$B$23:$C$28, 2, FALSE)</f>
        <v>Daylight</v>
      </c>
      <c r="AL42">
        <v>1</v>
      </c>
      <c r="AM42" t="str">
        <f>VLOOKUP(AL42, Lookups!$B$30:$C$39, 2, FALSE)</f>
        <v>Fine / Clear</v>
      </c>
      <c r="AN42">
        <v>1</v>
      </c>
      <c r="AO42" t="str">
        <f>VLOOKUP(AN42, Lookups!$B$41:$C$49, 2, FALSE)</f>
        <v>Dry</v>
      </c>
      <c r="AP42">
        <v>-1</v>
      </c>
      <c r="AQ42">
        <v>-1</v>
      </c>
      <c r="AR42">
        <v>0</v>
      </c>
      <c r="AS42">
        <v>1</v>
      </c>
      <c r="AT42">
        <v>1</v>
      </c>
      <c r="AU42">
        <v>2</v>
      </c>
      <c r="AV42" t="s">
        <v>88</v>
      </c>
      <c r="AW42">
        <v>3</v>
      </c>
      <c r="AX42">
        <v>1</v>
      </c>
      <c r="AY42">
        <v>0</v>
      </c>
      <c r="AZ42">
        <v>1</v>
      </c>
    </row>
    <row r="43" spans="1:52" x14ac:dyDescent="0.35">
      <c r="A43">
        <v>2025221576967</v>
      </c>
      <c r="B43">
        <v>2025</v>
      </c>
      <c r="C43">
        <v>221576967</v>
      </c>
      <c r="D43">
        <v>378345</v>
      </c>
      <c r="E43">
        <v>275280</v>
      </c>
      <c r="F43">
        <v>-2.3195199999999998</v>
      </c>
      <c r="G43">
        <v>52.375129999999999</v>
      </c>
      <c r="H43">
        <v>22</v>
      </c>
      <c r="I43">
        <v>2</v>
      </c>
      <c r="J43" t="str">
        <f>VLOOKUP(I43, Lookups!$B$1:$C$4, 2, FALSE)</f>
        <v>Serious</v>
      </c>
      <c r="K43">
        <v>2</v>
      </c>
      <c r="L43">
        <v>3</v>
      </c>
      <c r="M43" s="1">
        <v>45758</v>
      </c>
      <c r="N43">
        <v>6</v>
      </c>
      <c r="O43" t="str">
        <f>VLOOKUP(N43, Lookups!$B$6:$C$12, 2, FALSE)</f>
        <v>Friday</v>
      </c>
      <c r="P43" s="2">
        <v>0.82638888888888884</v>
      </c>
      <c r="Q43">
        <v>-1</v>
      </c>
      <c r="R43" t="s">
        <v>44</v>
      </c>
      <c r="S43" t="s">
        <v>45</v>
      </c>
      <c r="T43" t="s">
        <v>45</v>
      </c>
      <c r="U43">
        <v>6</v>
      </c>
      <c r="V43" t="str">
        <f>VLOOKUP(U43, Lookups!$B$51:$C$57, 2, FALSE)</f>
        <v>Unclassified</v>
      </c>
      <c r="W43">
        <v>0</v>
      </c>
      <c r="X43" t="s">
        <v>362</v>
      </c>
      <c r="Y43">
        <v>6</v>
      </c>
      <c r="Z43" t="str">
        <f>VLOOKUP(Y43, Lookups!$B$14:$C$21, 2, FALSE)</f>
        <v>Single carriageway</v>
      </c>
      <c r="AA43">
        <v>30</v>
      </c>
      <c r="AB43">
        <v>-1</v>
      </c>
      <c r="AC43">
        <v>0</v>
      </c>
      <c r="AD43">
        <v>-1</v>
      </c>
      <c r="AE43">
        <v>4</v>
      </c>
      <c r="AF43">
        <v>4190</v>
      </c>
      <c r="AG43">
        <v>-1</v>
      </c>
      <c r="AH43">
        <v>-1</v>
      </c>
      <c r="AI43">
        <v>0</v>
      </c>
      <c r="AJ43">
        <v>1</v>
      </c>
      <c r="AK43" t="str">
        <f>VLOOKUP(AJ43, Lookups!$B$23:$C$28, 2, FALSE)</f>
        <v>Daylight</v>
      </c>
      <c r="AL43">
        <v>1</v>
      </c>
      <c r="AM43" t="str">
        <f>VLOOKUP(AL43, Lookups!$B$30:$C$39, 2, FALSE)</f>
        <v>Fine / Clear</v>
      </c>
      <c r="AN43">
        <v>1</v>
      </c>
      <c r="AO43" t="str">
        <f>VLOOKUP(AN43, Lookups!$B$41:$C$49, 2, FALSE)</f>
        <v>Dry</v>
      </c>
      <c r="AP43">
        <v>-1</v>
      </c>
      <c r="AQ43">
        <v>-1</v>
      </c>
      <c r="AR43">
        <v>0</v>
      </c>
      <c r="AS43">
        <v>2</v>
      </c>
      <c r="AT43">
        <v>1</v>
      </c>
      <c r="AU43">
        <v>2</v>
      </c>
      <c r="AV43" t="s">
        <v>89</v>
      </c>
      <c r="AW43">
        <v>7</v>
      </c>
      <c r="AX43">
        <v>1</v>
      </c>
      <c r="AY43">
        <v>1</v>
      </c>
      <c r="AZ43">
        <v>0</v>
      </c>
    </row>
    <row r="44" spans="1:52" x14ac:dyDescent="0.35">
      <c r="A44">
        <v>2025221615392</v>
      </c>
      <c r="B44">
        <v>2025</v>
      </c>
      <c r="C44">
        <v>221615392</v>
      </c>
      <c r="D44">
        <v>404249</v>
      </c>
      <c r="E44">
        <v>242109</v>
      </c>
      <c r="F44">
        <v>-1.9394199999999999</v>
      </c>
      <c r="G44">
        <v>52.077330000000003</v>
      </c>
      <c r="H44">
        <v>22</v>
      </c>
      <c r="I44">
        <v>3</v>
      </c>
      <c r="J44" t="str">
        <f>VLOOKUP(I44, Lookups!$B$1:$C$4, 2, FALSE)</f>
        <v>Slight</v>
      </c>
      <c r="K44">
        <v>2</v>
      </c>
      <c r="L44">
        <v>2</v>
      </c>
      <c r="M44" s="1">
        <v>45851</v>
      </c>
      <c r="N44">
        <v>1</v>
      </c>
      <c r="O44" t="str">
        <f>VLOOKUP(N44, Lookups!$B$6:$C$12, 2, FALSE)</f>
        <v>Sunday</v>
      </c>
      <c r="P44" s="2">
        <v>0.42708333333333331</v>
      </c>
      <c r="Q44">
        <v>-1</v>
      </c>
      <c r="R44" t="s">
        <v>54</v>
      </c>
      <c r="S44" t="s">
        <v>45</v>
      </c>
      <c r="T44" t="s">
        <v>45</v>
      </c>
      <c r="U44">
        <v>6</v>
      </c>
      <c r="V44" t="str">
        <f>VLOOKUP(U44, Lookups!$B$51:$C$57, 2, FALSE)</f>
        <v>Unclassified</v>
      </c>
      <c r="W44">
        <v>0</v>
      </c>
      <c r="X44" t="s">
        <v>362</v>
      </c>
      <c r="Y44">
        <v>6</v>
      </c>
      <c r="Z44" t="str">
        <f>VLOOKUP(Y44, Lookups!$B$14:$C$21, 2, FALSE)</f>
        <v>Single carriageway</v>
      </c>
      <c r="AA44">
        <v>30</v>
      </c>
      <c r="AB44">
        <v>-1</v>
      </c>
      <c r="AC44">
        <v>19</v>
      </c>
      <c r="AD44">
        <v>4</v>
      </c>
      <c r="AE44">
        <v>6</v>
      </c>
      <c r="AF44">
        <v>0</v>
      </c>
      <c r="AG44">
        <v>-1</v>
      </c>
      <c r="AH44">
        <v>-1</v>
      </c>
      <c r="AI44">
        <v>0</v>
      </c>
      <c r="AJ44">
        <v>1</v>
      </c>
      <c r="AK44" t="str">
        <f>VLOOKUP(AJ44, Lookups!$B$23:$C$28, 2, FALSE)</f>
        <v>Daylight</v>
      </c>
      <c r="AL44">
        <v>1</v>
      </c>
      <c r="AM44" t="str">
        <f>VLOOKUP(AL44, Lookups!$B$30:$C$39, 2, FALSE)</f>
        <v>Fine / Clear</v>
      </c>
      <c r="AN44">
        <v>1</v>
      </c>
      <c r="AO44" t="str">
        <f>VLOOKUP(AN44, Lookups!$B$41:$C$49, 2, FALSE)</f>
        <v>Dry</v>
      </c>
      <c r="AP44">
        <v>-1</v>
      </c>
      <c r="AQ44">
        <v>-1</v>
      </c>
      <c r="AR44">
        <v>0</v>
      </c>
      <c r="AS44">
        <v>1</v>
      </c>
      <c r="AT44">
        <v>3</v>
      </c>
      <c r="AU44">
        <v>2</v>
      </c>
      <c r="AV44" t="s">
        <v>90</v>
      </c>
      <c r="AW44">
        <v>3</v>
      </c>
      <c r="AX44">
        <v>1</v>
      </c>
      <c r="AY44">
        <v>0</v>
      </c>
      <c r="AZ44">
        <v>1</v>
      </c>
    </row>
    <row r="45" spans="1:52" x14ac:dyDescent="0.35">
      <c r="A45">
        <v>2025221651934</v>
      </c>
      <c r="B45">
        <v>2025</v>
      </c>
      <c r="C45">
        <v>221651934</v>
      </c>
      <c r="D45">
        <v>379620</v>
      </c>
      <c r="E45">
        <v>274639</v>
      </c>
      <c r="F45">
        <v>-2.3007499999999999</v>
      </c>
      <c r="G45">
        <v>52.369410000000002</v>
      </c>
      <c r="H45">
        <v>22</v>
      </c>
      <c r="I45">
        <v>3</v>
      </c>
      <c r="J45" t="str">
        <f>VLOOKUP(I45, Lookups!$B$1:$C$4, 2, FALSE)</f>
        <v>Slight</v>
      </c>
      <c r="K45">
        <v>2</v>
      </c>
      <c r="L45">
        <v>1</v>
      </c>
      <c r="M45" s="1">
        <v>45938</v>
      </c>
      <c r="N45">
        <v>4</v>
      </c>
      <c r="O45" t="str">
        <f>VLOOKUP(N45, Lookups!$B$6:$C$12, 2, FALSE)</f>
        <v>Wednesday</v>
      </c>
      <c r="P45" s="2">
        <v>0.60416666666666663</v>
      </c>
      <c r="Q45">
        <v>-1</v>
      </c>
      <c r="R45" t="s">
        <v>44</v>
      </c>
      <c r="S45" t="s">
        <v>45</v>
      </c>
      <c r="T45" t="s">
        <v>45</v>
      </c>
      <c r="U45">
        <v>3</v>
      </c>
      <c r="V45" t="str">
        <f>VLOOKUP(U45, Lookups!$B$51:$C$57, 2, FALSE)</f>
        <v>A</v>
      </c>
      <c r="W45">
        <v>456</v>
      </c>
      <c r="X45" t="str">
        <f t="shared" ref="X45:X49" si="7">V45&amp;W45</f>
        <v>A456</v>
      </c>
      <c r="Y45">
        <v>6</v>
      </c>
      <c r="Z45" t="str">
        <f>VLOOKUP(Y45, Lookups!$B$14:$C$21, 2, FALSE)</f>
        <v>Single carriageway</v>
      </c>
      <c r="AA45">
        <v>30</v>
      </c>
      <c r="AB45">
        <v>-1</v>
      </c>
      <c r="AC45">
        <v>13</v>
      </c>
      <c r="AD45">
        <v>2</v>
      </c>
      <c r="AE45">
        <v>4</v>
      </c>
      <c r="AF45">
        <v>4195</v>
      </c>
      <c r="AG45">
        <v>-1</v>
      </c>
      <c r="AH45">
        <v>-1</v>
      </c>
      <c r="AI45">
        <v>14</v>
      </c>
      <c r="AJ45">
        <v>1</v>
      </c>
      <c r="AK45" t="str">
        <f>VLOOKUP(AJ45, Lookups!$B$23:$C$28, 2, FALSE)</f>
        <v>Daylight</v>
      </c>
      <c r="AL45">
        <v>1</v>
      </c>
      <c r="AM45" t="str">
        <f>VLOOKUP(AL45, Lookups!$B$30:$C$39, 2, FALSE)</f>
        <v>Fine / Clear</v>
      </c>
      <c r="AN45">
        <v>1</v>
      </c>
      <c r="AO45" t="str">
        <f>VLOOKUP(AN45, Lookups!$B$41:$C$49, 2, FALSE)</f>
        <v>Dry</v>
      </c>
      <c r="AP45">
        <v>-1</v>
      </c>
      <c r="AQ45">
        <v>-1</v>
      </c>
      <c r="AR45">
        <v>0</v>
      </c>
      <c r="AS45">
        <v>2</v>
      </c>
      <c r="AT45">
        <v>3</v>
      </c>
      <c r="AU45">
        <v>2</v>
      </c>
      <c r="AV45" t="s">
        <v>91</v>
      </c>
      <c r="AW45">
        <v>3</v>
      </c>
      <c r="AX45">
        <v>1</v>
      </c>
      <c r="AY45">
        <v>0</v>
      </c>
      <c r="AZ45">
        <v>1</v>
      </c>
    </row>
    <row r="46" spans="1:52" x14ac:dyDescent="0.35">
      <c r="A46">
        <v>2025221562942</v>
      </c>
      <c r="B46">
        <v>2025</v>
      </c>
      <c r="C46">
        <v>221562942</v>
      </c>
      <c r="D46">
        <v>401873</v>
      </c>
      <c r="E46">
        <v>261152</v>
      </c>
      <c r="F46">
        <v>-1.9739899999999999</v>
      </c>
      <c r="G46">
        <v>52.248539999999998</v>
      </c>
      <c r="H46">
        <v>22</v>
      </c>
      <c r="I46">
        <v>2</v>
      </c>
      <c r="J46" t="str">
        <f>VLOOKUP(I46, Lookups!$B$1:$C$4, 2, FALSE)</f>
        <v>Serious</v>
      </c>
      <c r="K46">
        <v>2</v>
      </c>
      <c r="L46">
        <v>1</v>
      </c>
      <c r="M46" s="1">
        <v>45725</v>
      </c>
      <c r="N46">
        <v>1</v>
      </c>
      <c r="O46" t="str">
        <f>VLOOKUP(N46, Lookups!$B$6:$C$12, 2, FALSE)</f>
        <v>Sunday</v>
      </c>
      <c r="P46" s="2">
        <v>0.63888888888888884</v>
      </c>
      <c r="Q46">
        <v>-1</v>
      </c>
      <c r="R46" t="s">
        <v>69</v>
      </c>
      <c r="S46" t="s">
        <v>45</v>
      </c>
      <c r="T46" t="s">
        <v>45</v>
      </c>
      <c r="U46">
        <v>4</v>
      </c>
      <c r="V46" t="str">
        <f>VLOOKUP(U46, Lookups!$B$51:$C$57, 2, FALSE)</f>
        <v>B</v>
      </c>
      <c r="W46">
        <v>4090</v>
      </c>
      <c r="X46" t="str">
        <f t="shared" si="7"/>
        <v>B4090</v>
      </c>
      <c r="Y46">
        <v>6</v>
      </c>
      <c r="Z46" t="str">
        <f>VLOOKUP(Y46, Lookups!$B$14:$C$21, 2, FALSE)</f>
        <v>Single carriageway</v>
      </c>
      <c r="AA46">
        <v>60</v>
      </c>
      <c r="AB46">
        <v>-1</v>
      </c>
      <c r="AC46">
        <v>0</v>
      </c>
      <c r="AD46">
        <v>-1</v>
      </c>
      <c r="AE46">
        <v>6</v>
      </c>
      <c r="AF46">
        <v>0</v>
      </c>
      <c r="AG46">
        <v>-1</v>
      </c>
      <c r="AH46">
        <v>-1</v>
      </c>
      <c r="AI46">
        <v>0</v>
      </c>
      <c r="AJ46">
        <v>1</v>
      </c>
      <c r="AK46" t="str">
        <f>VLOOKUP(AJ46, Lookups!$B$23:$C$28, 2, FALSE)</f>
        <v>Daylight</v>
      </c>
      <c r="AL46">
        <v>1</v>
      </c>
      <c r="AM46" t="str">
        <f>VLOOKUP(AL46, Lookups!$B$30:$C$39, 2, FALSE)</f>
        <v>Fine / Clear</v>
      </c>
      <c r="AN46">
        <v>1</v>
      </c>
      <c r="AO46" t="str">
        <f>VLOOKUP(AN46, Lookups!$B$41:$C$49, 2, FALSE)</f>
        <v>Dry</v>
      </c>
      <c r="AP46">
        <v>-1</v>
      </c>
      <c r="AQ46">
        <v>-1</v>
      </c>
      <c r="AR46">
        <v>0</v>
      </c>
      <c r="AS46">
        <v>2</v>
      </c>
      <c r="AT46">
        <v>1</v>
      </c>
      <c r="AU46">
        <v>2</v>
      </c>
      <c r="AV46" t="s">
        <v>92</v>
      </c>
      <c r="AW46">
        <v>7</v>
      </c>
      <c r="AX46">
        <v>1</v>
      </c>
      <c r="AY46">
        <v>1</v>
      </c>
      <c r="AZ46">
        <v>0</v>
      </c>
    </row>
    <row r="47" spans="1:52" x14ac:dyDescent="0.35">
      <c r="A47">
        <v>2025221572485</v>
      </c>
      <c r="B47">
        <v>2025</v>
      </c>
      <c r="C47">
        <v>221572485</v>
      </c>
      <c r="D47">
        <v>381843</v>
      </c>
      <c r="E47">
        <v>233644</v>
      </c>
      <c r="F47">
        <v>-2.2658900000000002</v>
      </c>
      <c r="G47">
        <v>52.00094</v>
      </c>
      <c r="H47">
        <v>22</v>
      </c>
      <c r="I47">
        <v>2</v>
      </c>
      <c r="J47" t="str">
        <f>VLOOKUP(I47, Lookups!$B$1:$C$4, 2, FALSE)</f>
        <v>Serious</v>
      </c>
      <c r="K47">
        <v>2</v>
      </c>
      <c r="L47">
        <v>2</v>
      </c>
      <c r="M47" s="1">
        <v>45748</v>
      </c>
      <c r="N47">
        <v>3</v>
      </c>
      <c r="O47" t="str">
        <f>VLOOKUP(N47, Lookups!$B$6:$C$12, 2, FALSE)</f>
        <v>Tuesday</v>
      </c>
      <c r="P47" s="2">
        <v>0.34652777777777777</v>
      </c>
      <c r="Q47">
        <v>-1</v>
      </c>
      <c r="R47" t="s">
        <v>49</v>
      </c>
      <c r="S47" t="s">
        <v>45</v>
      </c>
      <c r="T47" t="s">
        <v>45</v>
      </c>
      <c r="U47">
        <v>1</v>
      </c>
      <c r="V47" t="str">
        <f>VLOOKUP(U47, Lookups!$B$51:$C$57, 2, FALSE)</f>
        <v>M</v>
      </c>
      <c r="W47">
        <v>50</v>
      </c>
      <c r="X47" t="str">
        <f t="shared" si="7"/>
        <v>M50</v>
      </c>
      <c r="Y47">
        <v>3</v>
      </c>
      <c r="Z47" t="str">
        <f>VLOOKUP(Y47, Lookups!$B$14:$C$21, 2, FALSE)</f>
        <v>Dual carriageway</v>
      </c>
      <c r="AA47">
        <v>70</v>
      </c>
      <c r="AB47">
        <v>-1</v>
      </c>
      <c r="AC47">
        <v>0</v>
      </c>
      <c r="AD47">
        <v>-1</v>
      </c>
      <c r="AE47">
        <v>0</v>
      </c>
      <c r="AF47">
        <v>-1</v>
      </c>
      <c r="AG47">
        <v>-1</v>
      </c>
      <c r="AH47">
        <v>-1</v>
      </c>
      <c r="AI47">
        <v>0</v>
      </c>
      <c r="AJ47">
        <v>1</v>
      </c>
      <c r="AK47" t="str">
        <f>VLOOKUP(AJ47, Lookups!$B$23:$C$28, 2, FALSE)</f>
        <v>Daylight</v>
      </c>
      <c r="AL47">
        <v>1</v>
      </c>
      <c r="AM47" t="str">
        <f>VLOOKUP(AL47, Lookups!$B$30:$C$39, 2, FALSE)</f>
        <v>Fine / Clear</v>
      </c>
      <c r="AN47">
        <v>1</v>
      </c>
      <c r="AO47" t="str">
        <f>VLOOKUP(AN47, Lookups!$B$41:$C$49, 2, FALSE)</f>
        <v>Dry</v>
      </c>
      <c r="AP47">
        <v>-1</v>
      </c>
      <c r="AQ47">
        <v>-1</v>
      </c>
      <c r="AR47">
        <v>0</v>
      </c>
      <c r="AS47">
        <v>2</v>
      </c>
      <c r="AT47">
        <v>1</v>
      </c>
      <c r="AU47">
        <v>1</v>
      </c>
      <c r="AV47" t="s">
        <v>82</v>
      </c>
      <c r="AW47">
        <v>5</v>
      </c>
      <c r="AX47">
        <v>1</v>
      </c>
      <c r="AY47">
        <v>1</v>
      </c>
      <c r="AZ47">
        <v>0</v>
      </c>
    </row>
    <row r="48" spans="1:52" x14ac:dyDescent="0.35">
      <c r="A48">
        <v>2025221558220</v>
      </c>
      <c r="B48">
        <v>2025</v>
      </c>
      <c r="C48">
        <v>221558220</v>
      </c>
      <c r="D48">
        <v>390685</v>
      </c>
      <c r="E48">
        <v>259612</v>
      </c>
      <c r="F48">
        <v>-2.1378200000000001</v>
      </c>
      <c r="G48">
        <v>52.23462</v>
      </c>
      <c r="H48">
        <v>22</v>
      </c>
      <c r="I48">
        <v>3</v>
      </c>
      <c r="J48" t="str">
        <f>VLOOKUP(I48, Lookups!$B$1:$C$4, 2, FALSE)</f>
        <v>Slight</v>
      </c>
      <c r="K48">
        <v>2</v>
      </c>
      <c r="L48">
        <v>1</v>
      </c>
      <c r="M48" s="1">
        <v>45713</v>
      </c>
      <c r="N48">
        <v>3</v>
      </c>
      <c r="O48" t="str">
        <f>VLOOKUP(N48, Lookups!$B$6:$C$12, 2, FALSE)</f>
        <v>Tuesday</v>
      </c>
      <c r="P48" s="2">
        <v>0.50416666666666665</v>
      </c>
      <c r="Q48">
        <v>-1</v>
      </c>
      <c r="R48" t="s">
        <v>54</v>
      </c>
      <c r="S48" t="s">
        <v>45</v>
      </c>
      <c r="T48" t="s">
        <v>45</v>
      </c>
      <c r="U48">
        <v>1</v>
      </c>
      <c r="V48" t="str">
        <f>VLOOKUP(U48, Lookups!$B$51:$C$57, 2, FALSE)</f>
        <v>M</v>
      </c>
      <c r="W48">
        <v>5</v>
      </c>
      <c r="X48" t="str">
        <f t="shared" si="7"/>
        <v>M5</v>
      </c>
      <c r="Y48">
        <v>3</v>
      </c>
      <c r="Z48" t="str">
        <f>VLOOKUP(Y48, Lookups!$B$14:$C$21, 2, FALSE)</f>
        <v>Dual carriageway</v>
      </c>
      <c r="AA48">
        <v>70</v>
      </c>
      <c r="AB48">
        <v>-1</v>
      </c>
      <c r="AC48">
        <v>0</v>
      </c>
      <c r="AD48">
        <v>-1</v>
      </c>
      <c r="AE48">
        <v>0</v>
      </c>
      <c r="AF48">
        <v>-1</v>
      </c>
      <c r="AG48">
        <v>-1</v>
      </c>
      <c r="AH48">
        <v>-1</v>
      </c>
      <c r="AI48">
        <v>0</v>
      </c>
      <c r="AJ48">
        <v>1</v>
      </c>
      <c r="AK48" t="str">
        <f>VLOOKUP(AJ48, Lookups!$B$23:$C$28, 2, FALSE)</f>
        <v>Daylight</v>
      </c>
      <c r="AL48">
        <v>1</v>
      </c>
      <c r="AM48" t="str">
        <f>VLOOKUP(AL48, Lookups!$B$30:$C$39, 2, FALSE)</f>
        <v>Fine / Clear</v>
      </c>
      <c r="AN48">
        <v>1</v>
      </c>
      <c r="AO48" t="str">
        <f>VLOOKUP(AN48, Lookups!$B$41:$C$49, 2, FALSE)</f>
        <v>Dry</v>
      </c>
      <c r="AP48">
        <v>-1</v>
      </c>
      <c r="AQ48">
        <v>-1</v>
      </c>
      <c r="AR48">
        <v>0</v>
      </c>
      <c r="AS48">
        <v>2</v>
      </c>
      <c r="AT48">
        <v>1</v>
      </c>
      <c r="AU48">
        <v>1</v>
      </c>
      <c r="AV48" t="s">
        <v>93</v>
      </c>
      <c r="AW48">
        <v>3</v>
      </c>
      <c r="AX48">
        <v>1</v>
      </c>
      <c r="AY48">
        <v>0</v>
      </c>
      <c r="AZ48">
        <v>1</v>
      </c>
    </row>
    <row r="49" spans="1:52" x14ac:dyDescent="0.35">
      <c r="A49">
        <v>2025221552698</v>
      </c>
      <c r="B49">
        <v>2025</v>
      </c>
      <c r="C49">
        <v>221552698</v>
      </c>
      <c r="D49">
        <v>386734</v>
      </c>
      <c r="E49">
        <v>249306</v>
      </c>
      <c r="F49">
        <v>-2.1952600000000002</v>
      </c>
      <c r="G49">
        <v>52.14188</v>
      </c>
      <c r="H49">
        <v>22</v>
      </c>
      <c r="I49">
        <v>3</v>
      </c>
      <c r="J49" t="str">
        <f>VLOOKUP(I49, Lookups!$B$1:$C$4, 2, FALSE)</f>
        <v>Slight</v>
      </c>
      <c r="K49">
        <v>4</v>
      </c>
      <c r="L49">
        <v>1</v>
      </c>
      <c r="M49" s="1">
        <v>45698</v>
      </c>
      <c r="N49">
        <v>2</v>
      </c>
      <c r="O49" t="str">
        <f>VLOOKUP(N49, Lookups!$B$6:$C$12, 2, FALSE)</f>
        <v>Monday</v>
      </c>
      <c r="P49" s="2">
        <v>0.45</v>
      </c>
      <c r="Q49">
        <v>-1</v>
      </c>
      <c r="R49" t="s">
        <v>49</v>
      </c>
      <c r="S49" t="s">
        <v>45</v>
      </c>
      <c r="T49" t="s">
        <v>45</v>
      </c>
      <c r="U49">
        <v>1</v>
      </c>
      <c r="V49" t="str">
        <f>VLOOKUP(U49, Lookups!$B$51:$C$57, 2, FALSE)</f>
        <v>M</v>
      </c>
      <c r="W49">
        <v>5</v>
      </c>
      <c r="X49" t="str">
        <f t="shared" si="7"/>
        <v>M5</v>
      </c>
      <c r="Y49">
        <v>3</v>
      </c>
      <c r="Z49" t="str">
        <f>VLOOKUP(Y49, Lookups!$B$14:$C$21, 2, FALSE)</f>
        <v>Dual carriageway</v>
      </c>
      <c r="AA49">
        <v>70</v>
      </c>
      <c r="AB49">
        <v>-1</v>
      </c>
      <c r="AC49">
        <v>0</v>
      </c>
      <c r="AD49">
        <v>-1</v>
      </c>
      <c r="AE49">
        <v>0</v>
      </c>
      <c r="AF49">
        <v>-1</v>
      </c>
      <c r="AG49">
        <v>-1</v>
      </c>
      <c r="AH49">
        <v>-1</v>
      </c>
      <c r="AI49">
        <v>0</v>
      </c>
      <c r="AJ49">
        <v>1</v>
      </c>
      <c r="AK49" t="str">
        <f>VLOOKUP(AJ49, Lookups!$B$23:$C$28, 2, FALSE)</f>
        <v>Daylight</v>
      </c>
      <c r="AL49">
        <v>2</v>
      </c>
      <c r="AM49" t="str">
        <f>VLOOKUP(AL49, Lookups!$B$30:$C$39, 2, FALSE)</f>
        <v>Rain</v>
      </c>
      <c r="AN49">
        <v>2</v>
      </c>
      <c r="AO49" t="str">
        <f>VLOOKUP(AN49, Lookups!$B$41:$C$49, 2, FALSE)</f>
        <v>Wet / damp</v>
      </c>
      <c r="AP49">
        <v>-1</v>
      </c>
      <c r="AQ49">
        <v>-1</v>
      </c>
      <c r="AR49">
        <v>0</v>
      </c>
      <c r="AS49">
        <v>2</v>
      </c>
      <c r="AT49">
        <v>1</v>
      </c>
      <c r="AU49">
        <v>1</v>
      </c>
      <c r="AV49" t="s">
        <v>50</v>
      </c>
      <c r="AW49">
        <v>3</v>
      </c>
      <c r="AX49">
        <v>1</v>
      </c>
      <c r="AY49">
        <v>0</v>
      </c>
      <c r="AZ49">
        <v>1</v>
      </c>
    </row>
    <row r="50" spans="1:52" x14ac:dyDescent="0.35">
      <c r="A50">
        <v>2025221578221</v>
      </c>
      <c r="B50">
        <v>2025</v>
      </c>
      <c r="C50">
        <v>221578221</v>
      </c>
      <c r="D50">
        <v>408943</v>
      </c>
      <c r="E50">
        <v>237128</v>
      </c>
      <c r="F50">
        <v>-1.8710500000000001</v>
      </c>
      <c r="G50">
        <v>52.032490000000003</v>
      </c>
      <c r="H50">
        <v>22</v>
      </c>
      <c r="I50">
        <v>3</v>
      </c>
      <c r="J50" t="str">
        <f>VLOOKUP(I50, Lookups!$B$1:$C$4, 2, FALSE)</f>
        <v>Slight</v>
      </c>
      <c r="K50">
        <v>1</v>
      </c>
      <c r="L50">
        <v>1</v>
      </c>
      <c r="M50" s="1">
        <v>45751</v>
      </c>
      <c r="N50">
        <v>6</v>
      </c>
      <c r="O50" t="str">
        <f>VLOOKUP(N50, Lookups!$B$6:$C$12, 2, FALSE)</f>
        <v>Friday</v>
      </c>
      <c r="P50" s="2">
        <v>0.8666666666666667</v>
      </c>
      <c r="Q50">
        <v>-1</v>
      </c>
      <c r="R50" t="s">
        <v>54</v>
      </c>
      <c r="S50" t="s">
        <v>45</v>
      </c>
      <c r="T50" t="s">
        <v>45</v>
      </c>
      <c r="U50">
        <v>6</v>
      </c>
      <c r="V50" t="str">
        <f>VLOOKUP(U50, Lookups!$B$51:$C$57, 2, FALSE)</f>
        <v>Unclassified</v>
      </c>
      <c r="W50">
        <v>0</v>
      </c>
      <c r="X50" t="s">
        <v>362</v>
      </c>
      <c r="Y50">
        <v>6</v>
      </c>
      <c r="Z50" t="str">
        <f>VLOOKUP(Y50, Lookups!$B$14:$C$21, 2, FALSE)</f>
        <v>Single carriageway</v>
      </c>
      <c r="AA50">
        <v>60</v>
      </c>
      <c r="AB50">
        <v>-1</v>
      </c>
      <c r="AC50">
        <v>0</v>
      </c>
      <c r="AD50">
        <v>-1</v>
      </c>
      <c r="AE50">
        <v>0</v>
      </c>
      <c r="AF50">
        <v>-1</v>
      </c>
      <c r="AG50">
        <v>-1</v>
      </c>
      <c r="AH50">
        <v>-1</v>
      </c>
      <c r="AI50">
        <v>0</v>
      </c>
      <c r="AJ50">
        <v>6</v>
      </c>
      <c r="AK50" t="str">
        <f>VLOOKUP(AJ50, Lookups!$B$23:$C$28, 2, FALSE)</f>
        <v>Darkness (Unlit)</v>
      </c>
      <c r="AL50">
        <v>1</v>
      </c>
      <c r="AM50" t="str">
        <f>VLOOKUP(AL50, Lookups!$B$30:$C$39, 2, FALSE)</f>
        <v>Fine / Clear</v>
      </c>
      <c r="AN50">
        <v>1</v>
      </c>
      <c r="AO50" t="str">
        <f>VLOOKUP(AN50, Lookups!$B$41:$C$49, 2, FALSE)</f>
        <v>Dry</v>
      </c>
      <c r="AP50">
        <v>-1</v>
      </c>
      <c r="AQ50">
        <v>-1</v>
      </c>
      <c r="AR50">
        <v>0</v>
      </c>
      <c r="AS50">
        <v>2</v>
      </c>
      <c r="AT50">
        <v>1</v>
      </c>
      <c r="AU50">
        <v>2</v>
      </c>
      <c r="AV50" t="s">
        <v>94</v>
      </c>
      <c r="AW50">
        <v>3</v>
      </c>
      <c r="AX50">
        <v>1</v>
      </c>
      <c r="AY50">
        <v>0</v>
      </c>
      <c r="AZ50">
        <v>1</v>
      </c>
    </row>
    <row r="51" spans="1:52" x14ac:dyDescent="0.35">
      <c r="A51">
        <v>2025221665254</v>
      </c>
      <c r="B51">
        <v>2025</v>
      </c>
      <c r="C51">
        <v>221665254</v>
      </c>
      <c r="D51">
        <v>402070</v>
      </c>
      <c r="E51">
        <v>261067</v>
      </c>
      <c r="F51">
        <v>-1.9711000000000001</v>
      </c>
      <c r="G51">
        <v>52.247779999999999</v>
      </c>
      <c r="H51">
        <v>22</v>
      </c>
      <c r="I51">
        <v>2</v>
      </c>
      <c r="J51" t="str">
        <f>VLOOKUP(I51, Lookups!$B$1:$C$4, 2, FALSE)</f>
        <v>Serious</v>
      </c>
      <c r="K51">
        <v>2</v>
      </c>
      <c r="L51">
        <v>1</v>
      </c>
      <c r="M51" s="1">
        <v>45969</v>
      </c>
      <c r="N51">
        <v>7</v>
      </c>
      <c r="O51" t="str">
        <f>VLOOKUP(N51, Lookups!$B$6:$C$12, 2, FALSE)</f>
        <v>Saturday</v>
      </c>
      <c r="P51" s="2">
        <v>2.7777777777777776E-2</v>
      </c>
      <c r="Q51">
        <v>-1</v>
      </c>
      <c r="R51" t="s">
        <v>69</v>
      </c>
      <c r="S51" t="s">
        <v>45</v>
      </c>
      <c r="T51" t="s">
        <v>45</v>
      </c>
      <c r="U51">
        <v>4</v>
      </c>
      <c r="V51" t="str">
        <f>VLOOKUP(U51, Lookups!$B$51:$C$57, 2, FALSE)</f>
        <v>B</v>
      </c>
      <c r="W51">
        <v>4090</v>
      </c>
      <c r="X51" t="str">
        <f>V51&amp;W51</f>
        <v>B4090</v>
      </c>
      <c r="Y51">
        <v>6</v>
      </c>
      <c r="Z51" t="str">
        <f>VLOOKUP(Y51, Lookups!$B$14:$C$21, 2, FALSE)</f>
        <v>Single carriageway</v>
      </c>
      <c r="AA51">
        <v>60</v>
      </c>
      <c r="AB51">
        <v>-1</v>
      </c>
      <c r="AC51">
        <v>0</v>
      </c>
      <c r="AD51">
        <v>-1</v>
      </c>
      <c r="AE51">
        <v>6</v>
      </c>
      <c r="AF51">
        <v>0</v>
      </c>
      <c r="AG51">
        <v>-1</v>
      </c>
      <c r="AH51">
        <v>-1</v>
      </c>
      <c r="AI51">
        <v>0</v>
      </c>
      <c r="AJ51">
        <v>6</v>
      </c>
      <c r="AK51" t="str">
        <f>VLOOKUP(AJ51, Lookups!$B$23:$C$28, 2, FALSE)</f>
        <v>Darkness (Unlit)</v>
      </c>
      <c r="AL51">
        <v>1</v>
      </c>
      <c r="AM51" t="str">
        <f>VLOOKUP(AL51, Lookups!$B$30:$C$39, 2, FALSE)</f>
        <v>Fine / Clear</v>
      </c>
      <c r="AN51">
        <v>2</v>
      </c>
      <c r="AO51" t="str">
        <f>VLOOKUP(AN51, Lookups!$B$41:$C$49, 2, FALSE)</f>
        <v>Wet / damp</v>
      </c>
      <c r="AP51">
        <v>-1</v>
      </c>
      <c r="AQ51">
        <v>-1</v>
      </c>
      <c r="AR51">
        <v>0</v>
      </c>
      <c r="AS51">
        <v>2</v>
      </c>
      <c r="AT51">
        <v>1</v>
      </c>
      <c r="AU51">
        <v>2</v>
      </c>
      <c r="AV51" t="s">
        <v>92</v>
      </c>
      <c r="AW51">
        <v>7</v>
      </c>
      <c r="AX51">
        <v>1</v>
      </c>
      <c r="AY51">
        <v>1</v>
      </c>
      <c r="AZ51">
        <v>0</v>
      </c>
    </row>
    <row r="52" spans="1:52" x14ac:dyDescent="0.35">
      <c r="A52">
        <v>2025221543033</v>
      </c>
      <c r="B52">
        <v>2025</v>
      </c>
      <c r="C52">
        <v>221543033</v>
      </c>
      <c r="D52">
        <v>387114</v>
      </c>
      <c r="E52">
        <v>256096</v>
      </c>
      <c r="F52">
        <v>-2.1899700000000002</v>
      </c>
      <c r="G52">
        <v>52.202939999999998</v>
      </c>
      <c r="H52">
        <v>22</v>
      </c>
      <c r="I52">
        <v>3</v>
      </c>
      <c r="J52" t="str">
        <f>VLOOKUP(I52, Lookups!$B$1:$C$4, 2, FALSE)</f>
        <v>Slight</v>
      </c>
      <c r="K52">
        <v>2</v>
      </c>
      <c r="L52">
        <v>1</v>
      </c>
      <c r="M52" s="1">
        <v>45673</v>
      </c>
      <c r="N52">
        <v>5</v>
      </c>
      <c r="O52" t="str">
        <f>VLOOKUP(N52, Lookups!$B$6:$C$12, 2, FALSE)</f>
        <v>Thursday</v>
      </c>
      <c r="P52" s="2">
        <v>0.60069444444444442</v>
      </c>
      <c r="Q52">
        <v>-1</v>
      </c>
      <c r="R52" t="s">
        <v>60</v>
      </c>
      <c r="S52" t="s">
        <v>45</v>
      </c>
      <c r="T52" t="s">
        <v>45</v>
      </c>
      <c r="U52">
        <v>6</v>
      </c>
      <c r="V52" t="str">
        <f>VLOOKUP(U52, Lookups!$B$51:$C$57, 2, FALSE)</f>
        <v>Unclassified</v>
      </c>
      <c r="W52">
        <v>0</v>
      </c>
      <c r="X52" t="s">
        <v>362</v>
      </c>
      <c r="Y52">
        <v>6</v>
      </c>
      <c r="Z52" t="str">
        <f>VLOOKUP(Y52, Lookups!$B$14:$C$21, 2, FALSE)</f>
        <v>Single carriageway</v>
      </c>
      <c r="AA52">
        <v>30</v>
      </c>
      <c r="AB52">
        <v>-1</v>
      </c>
      <c r="AC52">
        <v>0</v>
      </c>
      <c r="AD52">
        <v>-1</v>
      </c>
      <c r="AE52">
        <v>6</v>
      </c>
      <c r="AF52">
        <v>0</v>
      </c>
      <c r="AG52">
        <v>-1</v>
      </c>
      <c r="AH52">
        <v>-1</v>
      </c>
      <c r="AI52">
        <v>-1</v>
      </c>
      <c r="AJ52">
        <v>1</v>
      </c>
      <c r="AK52" t="str">
        <f>VLOOKUP(AJ52, Lookups!$B$23:$C$28, 2, FALSE)</f>
        <v>Daylight</v>
      </c>
      <c r="AL52">
        <v>1</v>
      </c>
      <c r="AM52" t="str">
        <f>VLOOKUP(AL52, Lookups!$B$30:$C$39, 2, FALSE)</f>
        <v>Fine / Clear</v>
      </c>
      <c r="AN52">
        <v>1</v>
      </c>
      <c r="AO52" t="str">
        <f>VLOOKUP(AN52, Lookups!$B$41:$C$49, 2, FALSE)</f>
        <v>Dry</v>
      </c>
      <c r="AP52">
        <v>-1</v>
      </c>
      <c r="AQ52">
        <v>-1</v>
      </c>
      <c r="AR52">
        <v>0</v>
      </c>
      <c r="AS52">
        <v>1</v>
      </c>
      <c r="AT52">
        <v>3</v>
      </c>
      <c r="AU52">
        <v>2</v>
      </c>
      <c r="AV52" t="s">
        <v>95</v>
      </c>
      <c r="AW52">
        <v>3</v>
      </c>
      <c r="AX52">
        <v>1</v>
      </c>
      <c r="AY52">
        <v>0</v>
      </c>
      <c r="AZ52">
        <v>1</v>
      </c>
    </row>
    <row r="53" spans="1:52" x14ac:dyDescent="0.35">
      <c r="A53">
        <v>2025221566341</v>
      </c>
      <c r="B53">
        <v>2025</v>
      </c>
      <c r="C53">
        <v>221566341</v>
      </c>
      <c r="D53">
        <v>383647</v>
      </c>
      <c r="E53">
        <v>274943</v>
      </c>
      <c r="F53">
        <v>-2.2416200000000002</v>
      </c>
      <c r="G53">
        <v>52.372280000000003</v>
      </c>
      <c r="H53">
        <v>22</v>
      </c>
      <c r="I53">
        <v>3</v>
      </c>
      <c r="J53" t="str">
        <f>VLOOKUP(I53, Lookups!$B$1:$C$4, 2, FALSE)</f>
        <v>Slight</v>
      </c>
      <c r="K53">
        <v>2</v>
      </c>
      <c r="L53">
        <v>2</v>
      </c>
      <c r="M53" s="1">
        <v>45731</v>
      </c>
      <c r="N53">
        <v>7</v>
      </c>
      <c r="O53" t="str">
        <f>VLOOKUP(N53, Lookups!$B$6:$C$12, 2, FALSE)</f>
        <v>Saturday</v>
      </c>
      <c r="P53" s="2">
        <v>0.87083333333333335</v>
      </c>
      <c r="Q53">
        <v>-1</v>
      </c>
      <c r="R53" t="s">
        <v>44</v>
      </c>
      <c r="S53" t="s">
        <v>45</v>
      </c>
      <c r="T53" t="s">
        <v>45</v>
      </c>
      <c r="U53">
        <v>3</v>
      </c>
      <c r="V53" t="str">
        <f>VLOOKUP(U53, Lookups!$B$51:$C$57, 2, FALSE)</f>
        <v>A</v>
      </c>
      <c r="W53">
        <v>449</v>
      </c>
      <c r="X53" t="str">
        <f t="shared" ref="X53:X54" si="8">V53&amp;W53</f>
        <v>A449</v>
      </c>
      <c r="Y53">
        <v>1</v>
      </c>
      <c r="Z53" t="str">
        <f>VLOOKUP(Y53, Lookups!$B$14:$C$21, 2, FALSE)</f>
        <v>Roundabout</v>
      </c>
      <c r="AA53">
        <v>40</v>
      </c>
      <c r="AB53">
        <v>-1</v>
      </c>
      <c r="AC53">
        <v>-1</v>
      </c>
      <c r="AD53">
        <v>4</v>
      </c>
      <c r="AE53">
        <v>6</v>
      </c>
      <c r="AF53">
        <v>0</v>
      </c>
      <c r="AG53">
        <v>-1</v>
      </c>
      <c r="AH53">
        <v>-1</v>
      </c>
      <c r="AI53">
        <v>0</v>
      </c>
      <c r="AJ53">
        <v>4</v>
      </c>
      <c r="AK53" t="str">
        <f>VLOOKUP(AJ53, Lookups!$B$23:$C$28, 2, FALSE)</f>
        <v>Darkness (Lit)</v>
      </c>
      <c r="AL53">
        <v>1</v>
      </c>
      <c r="AM53" t="str">
        <f>VLOOKUP(AL53, Lookups!$B$30:$C$39, 2, FALSE)</f>
        <v>Fine / Clear</v>
      </c>
      <c r="AN53">
        <v>1</v>
      </c>
      <c r="AO53" t="str">
        <f>VLOOKUP(AN53, Lookups!$B$41:$C$49, 2, FALSE)</f>
        <v>Dry</v>
      </c>
      <c r="AP53">
        <v>-1</v>
      </c>
      <c r="AQ53">
        <v>-1</v>
      </c>
      <c r="AR53">
        <v>0</v>
      </c>
      <c r="AS53">
        <v>1</v>
      </c>
      <c r="AT53">
        <v>1</v>
      </c>
      <c r="AU53">
        <v>2</v>
      </c>
      <c r="AV53" t="s">
        <v>96</v>
      </c>
      <c r="AW53">
        <v>3</v>
      </c>
      <c r="AX53">
        <v>1</v>
      </c>
      <c r="AY53">
        <v>0</v>
      </c>
      <c r="AZ53">
        <v>1</v>
      </c>
    </row>
    <row r="54" spans="1:52" x14ac:dyDescent="0.35">
      <c r="A54">
        <v>2025221624406</v>
      </c>
      <c r="B54">
        <v>2025</v>
      </c>
      <c r="C54">
        <v>221624406</v>
      </c>
      <c r="D54">
        <v>404538</v>
      </c>
      <c r="E54">
        <v>243546</v>
      </c>
      <c r="F54">
        <v>-1.9351799999999999</v>
      </c>
      <c r="G54">
        <v>52.090240000000001</v>
      </c>
      <c r="H54">
        <v>22</v>
      </c>
      <c r="I54">
        <v>3</v>
      </c>
      <c r="J54" t="str">
        <f>VLOOKUP(I54, Lookups!$B$1:$C$4, 2, FALSE)</f>
        <v>Slight</v>
      </c>
      <c r="K54">
        <v>2</v>
      </c>
      <c r="L54">
        <v>1</v>
      </c>
      <c r="M54" s="1">
        <v>45870</v>
      </c>
      <c r="N54">
        <v>6</v>
      </c>
      <c r="O54" t="str">
        <f>VLOOKUP(N54, Lookups!$B$6:$C$12, 2, FALSE)</f>
        <v>Friday</v>
      </c>
      <c r="P54" s="2">
        <v>0.68958333333333333</v>
      </c>
      <c r="Q54">
        <v>-1</v>
      </c>
      <c r="R54" t="s">
        <v>54</v>
      </c>
      <c r="S54" t="s">
        <v>45</v>
      </c>
      <c r="T54" t="s">
        <v>45</v>
      </c>
      <c r="U54">
        <v>4</v>
      </c>
      <c r="V54" t="str">
        <f>VLOOKUP(U54, Lookups!$B$51:$C$57, 2, FALSE)</f>
        <v>B</v>
      </c>
      <c r="W54">
        <v>4035</v>
      </c>
      <c r="X54" t="str">
        <f t="shared" si="8"/>
        <v>B4035</v>
      </c>
      <c r="Y54">
        <v>6</v>
      </c>
      <c r="Z54" t="str">
        <f>VLOOKUP(Y54, Lookups!$B$14:$C$21, 2, FALSE)</f>
        <v>Single carriageway</v>
      </c>
      <c r="AA54">
        <v>30</v>
      </c>
      <c r="AB54">
        <v>-1</v>
      </c>
      <c r="AC54">
        <v>13</v>
      </c>
      <c r="AD54">
        <v>4</v>
      </c>
      <c r="AE54">
        <v>6</v>
      </c>
      <c r="AF54">
        <v>0</v>
      </c>
      <c r="AG54">
        <v>-1</v>
      </c>
      <c r="AH54">
        <v>-1</v>
      </c>
      <c r="AI54">
        <v>0</v>
      </c>
      <c r="AJ54">
        <v>1</v>
      </c>
      <c r="AK54" t="str">
        <f>VLOOKUP(AJ54, Lookups!$B$23:$C$28, 2, FALSE)</f>
        <v>Daylight</v>
      </c>
      <c r="AL54">
        <v>1</v>
      </c>
      <c r="AM54" t="str">
        <f>VLOOKUP(AL54, Lookups!$B$30:$C$39, 2, FALSE)</f>
        <v>Fine / Clear</v>
      </c>
      <c r="AN54">
        <v>1</v>
      </c>
      <c r="AO54" t="str">
        <f>VLOOKUP(AN54, Lookups!$B$41:$C$49, 2, FALSE)</f>
        <v>Dry</v>
      </c>
      <c r="AP54">
        <v>-1</v>
      </c>
      <c r="AQ54">
        <v>-1</v>
      </c>
      <c r="AR54">
        <v>0</v>
      </c>
      <c r="AS54">
        <v>1</v>
      </c>
      <c r="AT54">
        <v>1</v>
      </c>
      <c r="AU54">
        <v>2</v>
      </c>
      <c r="AV54" t="s">
        <v>97</v>
      </c>
      <c r="AW54">
        <v>3</v>
      </c>
      <c r="AX54">
        <v>1</v>
      </c>
      <c r="AY54">
        <v>0</v>
      </c>
      <c r="AZ54">
        <v>1</v>
      </c>
    </row>
    <row r="55" spans="1:52" x14ac:dyDescent="0.35">
      <c r="A55">
        <v>2025221681090</v>
      </c>
      <c r="B55">
        <v>2025</v>
      </c>
      <c r="C55">
        <v>221681090</v>
      </c>
      <c r="D55">
        <v>408322</v>
      </c>
      <c r="E55">
        <v>277653</v>
      </c>
      <c r="F55">
        <v>-1.8791199999999999</v>
      </c>
      <c r="G55">
        <v>52.396830000000001</v>
      </c>
      <c r="H55">
        <v>22</v>
      </c>
      <c r="I55">
        <v>3</v>
      </c>
      <c r="J55" t="str">
        <f>VLOOKUP(I55, Lookups!$B$1:$C$4, 2, FALSE)</f>
        <v>Slight</v>
      </c>
      <c r="K55">
        <v>1</v>
      </c>
      <c r="L55">
        <v>1</v>
      </c>
      <c r="M55" s="1">
        <v>46001</v>
      </c>
      <c r="N55">
        <v>4</v>
      </c>
      <c r="O55" t="str">
        <f>VLOOKUP(N55, Lookups!$B$6:$C$12, 2, FALSE)</f>
        <v>Wednesday</v>
      </c>
      <c r="P55" s="2">
        <v>0.70833333333333337</v>
      </c>
      <c r="Q55">
        <v>-1</v>
      </c>
      <c r="R55" t="s">
        <v>47</v>
      </c>
      <c r="S55" t="s">
        <v>45</v>
      </c>
      <c r="T55" t="s">
        <v>45</v>
      </c>
      <c r="U55">
        <v>6</v>
      </c>
      <c r="V55" t="str">
        <f>VLOOKUP(U55, Lookups!$B$51:$C$57, 2, FALSE)</f>
        <v>Unclassified</v>
      </c>
      <c r="W55">
        <v>0</v>
      </c>
      <c r="X55" t="s">
        <v>362</v>
      </c>
      <c r="Y55">
        <v>6</v>
      </c>
      <c r="Z55" t="str">
        <f>VLOOKUP(Y55, Lookups!$B$14:$C$21, 2, FALSE)</f>
        <v>Single carriageway</v>
      </c>
      <c r="AA55">
        <v>30</v>
      </c>
      <c r="AB55">
        <v>-1</v>
      </c>
      <c r="AC55">
        <v>19</v>
      </c>
      <c r="AD55">
        <v>4</v>
      </c>
      <c r="AE55">
        <v>6</v>
      </c>
      <c r="AF55">
        <v>0</v>
      </c>
      <c r="AG55">
        <v>-1</v>
      </c>
      <c r="AH55">
        <v>-1</v>
      </c>
      <c r="AI55">
        <v>0</v>
      </c>
      <c r="AJ55">
        <v>6</v>
      </c>
      <c r="AK55" t="str">
        <f>VLOOKUP(AJ55, Lookups!$B$23:$C$28, 2, FALSE)</f>
        <v>Darkness (Unlit)</v>
      </c>
      <c r="AL55">
        <v>1</v>
      </c>
      <c r="AM55" t="str">
        <f>VLOOKUP(AL55, Lookups!$B$30:$C$39, 2, FALSE)</f>
        <v>Fine / Clear</v>
      </c>
      <c r="AN55">
        <v>2</v>
      </c>
      <c r="AO55" t="str">
        <f>VLOOKUP(AN55, Lookups!$B$41:$C$49, 2, FALSE)</f>
        <v>Wet / damp</v>
      </c>
      <c r="AP55">
        <v>-1</v>
      </c>
      <c r="AQ55">
        <v>-1</v>
      </c>
      <c r="AR55">
        <v>0</v>
      </c>
      <c r="AS55">
        <v>1</v>
      </c>
      <c r="AT55">
        <v>1</v>
      </c>
      <c r="AU55">
        <v>2</v>
      </c>
      <c r="AV55" t="s">
        <v>98</v>
      </c>
      <c r="AW55">
        <v>3</v>
      </c>
      <c r="AX55">
        <v>1</v>
      </c>
      <c r="AY55">
        <v>0</v>
      </c>
      <c r="AZ55">
        <v>1</v>
      </c>
    </row>
    <row r="56" spans="1:52" x14ac:dyDescent="0.35">
      <c r="A56">
        <v>2025221684506</v>
      </c>
      <c r="B56">
        <v>2025</v>
      </c>
      <c r="C56">
        <v>221684506</v>
      </c>
      <c r="D56">
        <v>397521</v>
      </c>
      <c r="E56">
        <v>270526</v>
      </c>
      <c r="F56">
        <v>-2.0377999999999998</v>
      </c>
      <c r="G56">
        <v>52.332819999999998</v>
      </c>
      <c r="H56">
        <v>22</v>
      </c>
      <c r="I56">
        <v>2</v>
      </c>
      <c r="J56" t="str">
        <f>VLOOKUP(I56, Lookups!$B$1:$C$4, 2, FALSE)</f>
        <v>Serious</v>
      </c>
      <c r="K56">
        <v>2</v>
      </c>
      <c r="L56">
        <v>1</v>
      </c>
      <c r="M56" s="1">
        <v>46007</v>
      </c>
      <c r="N56">
        <v>3</v>
      </c>
      <c r="O56" t="str">
        <f>VLOOKUP(N56, Lookups!$B$6:$C$12, 2, FALSE)</f>
        <v>Tuesday</v>
      </c>
      <c r="P56" s="2">
        <v>0.68055555555555558</v>
      </c>
      <c r="Q56">
        <v>-1</v>
      </c>
      <c r="R56" t="s">
        <v>47</v>
      </c>
      <c r="S56" t="s">
        <v>45</v>
      </c>
      <c r="T56" t="s">
        <v>45</v>
      </c>
      <c r="U56">
        <v>3</v>
      </c>
      <c r="V56" t="str">
        <f>VLOOKUP(U56, Lookups!$B$51:$C$57, 2, FALSE)</f>
        <v>A</v>
      </c>
      <c r="W56">
        <v>448</v>
      </c>
      <c r="X56" t="str">
        <f t="shared" ref="X56:X59" si="9">V56&amp;W56</f>
        <v>A448</v>
      </c>
      <c r="Y56">
        <v>3</v>
      </c>
      <c r="Z56" t="str">
        <f>VLOOKUP(Y56, Lookups!$B$14:$C$21, 2, FALSE)</f>
        <v>Dual carriageway</v>
      </c>
      <c r="AA56">
        <v>70</v>
      </c>
      <c r="AB56">
        <v>-1</v>
      </c>
      <c r="AC56">
        <v>0</v>
      </c>
      <c r="AD56">
        <v>-1</v>
      </c>
      <c r="AE56">
        <v>6</v>
      </c>
      <c r="AF56">
        <v>0</v>
      </c>
      <c r="AG56">
        <v>-1</v>
      </c>
      <c r="AH56">
        <v>-1</v>
      </c>
      <c r="AI56">
        <v>0</v>
      </c>
      <c r="AJ56">
        <v>1</v>
      </c>
      <c r="AK56" t="str">
        <f>VLOOKUP(AJ56, Lookups!$B$23:$C$28, 2, FALSE)</f>
        <v>Daylight</v>
      </c>
      <c r="AL56">
        <v>1</v>
      </c>
      <c r="AM56" t="str">
        <f>VLOOKUP(AL56, Lookups!$B$30:$C$39, 2, FALSE)</f>
        <v>Fine / Clear</v>
      </c>
      <c r="AN56">
        <v>2</v>
      </c>
      <c r="AO56" t="str">
        <f>VLOOKUP(AN56, Lookups!$B$41:$C$49, 2, FALSE)</f>
        <v>Wet / damp</v>
      </c>
      <c r="AP56">
        <v>-1</v>
      </c>
      <c r="AQ56">
        <v>-1</v>
      </c>
      <c r="AR56">
        <v>0</v>
      </c>
      <c r="AS56">
        <v>2</v>
      </c>
      <c r="AT56">
        <v>3</v>
      </c>
      <c r="AU56">
        <v>2</v>
      </c>
      <c r="AV56" t="s">
        <v>99</v>
      </c>
      <c r="AW56">
        <v>7</v>
      </c>
      <c r="AX56">
        <v>1</v>
      </c>
      <c r="AY56">
        <v>1</v>
      </c>
      <c r="AZ56">
        <v>0</v>
      </c>
    </row>
    <row r="57" spans="1:52" x14ac:dyDescent="0.35">
      <c r="A57">
        <v>2025221574670</v>
      </c>
      <c r="B57">
        <v>2025</v>
      </c>
      <c r="C57">
        <v>221574670</v>
      </c>
      <c r="D57">
        <v>382938</v>
      </c>
      <c r="E57">
        <v>274863</v>
      </c>
      <c r="F57">
        <v>-2.25203</v>
      </c>
      <c r="G57">
        <v>52.371540000000003</v>
      </c>
      <c r="H57">
        <v>22</v>
      </c>
      <c r="I57">
        <v>3</v>
      </c>
      <c r="J57" t="str">
        <f>VLOOKUP(I57, Lookups!$B$1:$C$4, 2, FALSE)</f>
        <v>Slight</v>
      </c>
      <c r="K57">
        <v>1</v>
      </c>
      <c r="L57">
        <v>2</v>
      </c>
      <c r="M57" s="1">
        <v>45750</v>
      </c>
      <c r="N57">
        <v>5</v>
      </c>
      <c r="O57" t="str">
        <f>VLOOKUP(N57, Lookups!$B$6:$C$12, 2, FALSE)</f>
        <v>Thursday</v>
      </c>
      <c r="P57" s="2">
        <v>0.72430555555555554</v>
      </c>
      <c r="Q57">
        <v>-1</v>
      </c>
      <c r="R57" t="s">
        <v>44</v>
      </c>
      <c r="S57" t="s">
        <v>45</v>
      </c>
      <c r="T57" t="s">
        <v>45</v>
      </c>
      <c r="U57">
        <v>3</v>
      </c>
      <c r="V57" t="str">
        <f>VLOOKUP(U57, Lookups!$B$51:$C$57, 2, FALSE)</f>
        <v>A</v>
      </c>
      <c r="W57">
        <v>4420</v>
      </c>
      <c r="X57" t="str">
        <f t="shared" si="9"/>
        <v>A4420</v>
      </c>
      <c r="Y57">
        <v>6</v>
      </c>
      <c r="Z57" t="str">
        <f>VLOOKUP(Y57, Lookups!$B$14:$C$21, 2, FALSE)</f>
        <v>Single carriageway</v>
      </c>
      <c r="AA57">
        <v>30</v>
      </c>
      <c r="AB57">
        <v>-1</v>
      </c>
      <c r="AC57">
        <v>0</v>
      </c>
      <c r="AD57">
        <v>-1</v>
      </c>
      <c r="AE57">
        <v>6</v>
      </c>
      <c r="AF57">
        <v>0</v>
      </c>
      <c r="AG57">
        <v>-1</v>
      </c>
      <c r="AH57">
        <v>-1</v>
      </c>
      <c r="AI57">
        <v>0</v>
      </c>
      <c r="AJ57">
        <v>1</v>
      </c>
      <c r="AK57" t="str">
        <f>VLOOKUP(AJ57, Lookups!$B$23:$C$28, 2, FALSE)</f>
        <v>Daylight</v>
      </c>
      <c r="AL57">
        <v>1</v>
      </c>
      <c r="AM57" t="str">
        <f>VLOOKUP(AL57, Lookups!$B$30:$C$39, 2, FALSE)</f>
        <v>Fine / Clear</v>
      </c>
      <c r="AN57">
        <v>1</v>
      </c>
      <c r="AO57" t="str">
        <f>VLOOKUP(AN57, Lookups!$B$41:$C$49, 2, FALSE)</f>
        <v>Dry</v>
      </c>
      <c r="AP57">
        <v>-1</v>
      </c>
      <c r="AQ57">
        <v>-1</v>
      </c>
      <c r="AR57">
        <v>0</v>
      </c>
      <c r="AS57">
        <v>2</v>
      </c>
      <c r="AT57">
        <v>1</v>
      </c>
      <c r="AU57">
        <v>2</v>
      </c>
      <c r="AV57" t="s">
        <v>100</v>
      </c>
      <c r="AW57">
        <v>3</v>
      </c>
      <c r="AX57">
        <v>1</v>
      </c>
      <c r="AY57">
        <v>0</v>
      </c>
      <c r="AZ57">
        <v>1</v>
      </c>
    </row>
    <row r="58" spans="1:52" x14ac:dyDescent="0.35">
      <c r="A58">
        <v>2025221676379</v>
      </c>
      <c r="B58">
        <v>2025</v>
      </c>
      <c r="C58">
        <v>221676379</v>
      </c>
      <c r="D58">
        <v>388120</v>
      </c>
      <c r="E58">
        <v>254896</v>
      </c>
      <c r="F58">
        <v>-2.1752099999999999</v>
      </c>
      <c r="G58">
        <v>52.192169999999997</v>
      </c>
      <c r="H58">
        <v>22</v>
      </c>
      <c r="I58">
        <v>3</v>
      </c>
      <c r="J58" t="str">
        <f>VLOOKUP(I58, Lookups!$B$1:$C$4, 2, FALSE)</f>
        <v>Slight</v>
      </c>
      <c r="K58">
        <v>3</v>
      </c>
      <c r="L58">
        <v>1</v>
      </c>
      <c r="M58" s="1">
        <v>45992</v>
      </c>
      <c r="N58">
        <v>2</v>
      </c>
      <c r="O58" t="str">
        <f>VLOOKUP(N58, Lookups!$B$6:$C$12, 2, FALSE)</f>
        <v>Monday</v>
      </c>
      <c r="P58" s="2">
        <v>0.3263888888888889</v>
      </c>
      <c r="Q58">
        <v>-1</v>
      </c>
      <c r="R58" t="s">
        <v>60</v>
      </c>
      <c r="S58" t="s">
        <v>45</v>
      </c>
      <c r="T58" t="s">
        <v>45</v>
      </c>
      <c r="U58">
        <v>4</v>
      </c>
      <c r="V58" t="str">
        <f>VLOOKUP(U58, Lookups!$B$51:$C$57, 2, FALSE)</f>
        <v>B</v>
      </c>
      <c r="W58">
        <v>4636</v>
      </c>
      <c r="X58" t="str">
        <f t="shared" si="9"/>
        <v>B4636</v>
      </c>
      <c r="Y58">
        <v>6</v>
      </c>
      <c r="Z58" t="str">
        <f>VLOOKUP(Y58, Lookups!$B$14:$C$21, 2, FALSE)</f>
        <v>Single carriageway</v>
      </c>
      <c r="AA58">
        <v>30</v>
      </c>
      <c r="AB58">
        <v>-1</v>
      </c>
      <c r="AC58">
        <v>0</v>
      </c>
      <c r="AD58">
        <v>-1</v>
      </c>
      <c r="AE58">
        <v>0</v>
      </c>
      <c r="AF58">
        <v>-1</v>
      </c>
      <c r="AG58">
        <v>-1</v>
      </c>
      <c r="AH58">
        <v>-1</v>
      </c>
      <c r="AI58">
        <v>14</v>
      </c>
      <c r="AJ58">
        <v>1</v>
      </c>
      <c r="AK58" t="str">
        <f>VLOOKUP(AJ58, Lookups!$B$23:$C$28, 2, FALSE)</f>
        <v>Daylight</v>
      </c>
      <c r="AL58">
        <v>2</v>
      </c>
      <c r="AM58" t="str">
        <f>VLOOKUP(AL58, Lookups!$B$30:$C$39, 2, FALSE)</f>
        <v>Rain</v>
      </c>
      <c r="AN58">
        <v>2</v>
      </c>
      <c r="AO58" t="str">
        <f>VLOOKUP(AN58, Lookups!$B$41:$C$49, 2, FALSE)</f>
        <v>Wet / damp</v>
      </c>
      <c r="AP58">
        <v>-1</v>
      </c>
      <c r="AQ58">
        <v>-1</v>
      </c>
      <c r="AR58">
        <v>0</v>
      </c>
      <c r="AS58">
        <v>2</v>
      </c>
      <c r="AT58">
        <v>1</v>
      </c>
      <c r="AU58">
        <v>2</v>
      </c>
      <c r="AV58" t="s">
        <v>75</v>
      </c>
      <c r="AW58">
        <v>3</v>
      </c>
      <c r="AX58">
        <v>1</v>
      </c>
      <c r="AY58">
        <v>0</v>
      </c>
      <c r="AZ58">
        <v>1</v>
      </c>
    </row>
    <row r="59" spans="1:52" x14ac:dyDescent="0.35">
      <c r="A59">
        <v>2025221685618</v>
      </c>
      <c r="B59">
        <v>2025</v>
      </c>
      <c r="C59">
        <v>221685618</v>
      </c>
      <c r="D59">
        <v>379001</v>
      </c>
      <c r="E59">
        <v>281310</v>
      </c>
      <c r="F59">
        <v>-2.31026</v>
      </c>
      <c r="G59">
        <v>52.429360000000003</v>
      </c>
      <c r="H59">
        <v>22</v>
      </c>
      <c r="I59">
        <v>3</v>
      </c>
      <c r="J59" t="str">
        <f>VLOOKUP(I59, Lookups!$B$1:$C$4, 2, FALSE)</f>
        <v>Slight</v>
      </c>
      <c r="K59">
        <v>2</v>
      </c>
      <c r="L59">
        <v>1</v>
      </c>
      <c r="M59" s="1">
        <v>46010</v>
      </c>
      <c r="N59">
        <v>6</v>
      </c>
      <c r="O59" t="str">
        <f>VLOOKUP(N59, Lookups!$B$6:$C$12, 2, FALSE)</f>
        <v>Friday</v>
      </c>
      <c r="P59" s="2">
        <v>0.78611111111111109</v>
      </c>
      <c r="Q59">
        <v>-1</v>
      </c>
      <c r="R59" t="s">
        <v>44</v>
      </c>
      <c r="S59" t="s">
        <v>45</v>
      </c>
      <c r="T59" t="s">
        <v>45</v>
      </c>
      <c r="U59">
        <v>3</v>
      </c>
      <c r="V59" t="str">
        <f>VLOOKUP(U59, Lookups!$B$51:$C$57, 2, FALSE)</f>
        <v>A</v>
      </c>
      <c r="W59">
        <v>442</v>
      </c>
      <c r="X59" t="str">
        <f t="shared" si="9"/>
        <v>A442</v>
      </c>
      <c r="Y59">
        <v>6</v>
      </c>
      <c r="Z59" t="str">
        <f>VLOOKUP(Y59, Lookups!$B$14:$C$21, 2, FALSE)</f>
        <v>Single carriageway</v>
      </c>
      <c r="AA59">
        <v>40</v>
      </c>
      <c r="AB59">
        <v>-1</v>
      </c>
      <c r="AC59">
        <v>16</v>
      </c>
      <c r="AD59">
        <v>4</v>
      </c>
      <c r="AE59">
        <v>6</v>
      </c>
      <c r="AF59">
        <v>0</v>
      </c>
      <c r="AG59">
        <v>-1</v>
      </c>
      <c r="AH59">
        <v>-1</v>
      </c>
      <c r="AI59">
        <v>0</v>
      </c>
      <c r="AJ59">
        <v>6</v>
      </c>
      <c r="AK59" t="str">
        <f>VLOOKUP(AJ59, Lookups!$B$23:$C$28, 2, FALSE)</f>
        <v>Darkness (Unlit)</v>
      </c>
      <c r="AL59">
        <v>1</v>
      </c>
      <c r="AM59" t="str">
        <f>VLOOKUP(AL59, Lookups!$B$30:$C$39, 2, FALSE)</f>
        <v>Fine / Clear</v>
      </c>
      <c r="AN59">
        <v>2</v>
      </c>
      <c r="AO59" t="str">
        <f>VLOOKUP(AN59, Lookups!$B$41:$C$49, 2, FALSE)</f>
        <v>Wet / damp</v>
      </c>
      <c r="AP59">
        <v>-1</v>
      </c>
      <c r="AQ59">
        <v>-1</v>
      </c>
      <c r="AR59">
        <v>0</v>
      </c>
      <c r="AS59">
        <v>2</v>
      </c>
      <c r="AT59">
        <v>1</v>
      </c>
      <c r="AU59">
        <v>2</v>
      </c>
      <c r="AV59" t="s">
        <v>101</v>
      </c>
      <c r="AW59">
        <v>3</v>
      </c>
      <c r="AX59">
        <v>1</v>
      </c>
      <c r="AY59">
        <v>0</v>
      </c>
      <c r="AZ59">
        <v>1</v>
      </c>
    </row>
    <row r="60" spans="1:52" x14ac:dyDescent="0.35">
      <c r="A60">
        <v>2025221568591</v>
      </c>
      <c r="B60">
        <v>2025</v>
      </c>
      <c r="C60">
        <v>221568591</v>
      </c>
      <c r="D60">
        <v>377652</v>
      </c>
      <c r="E60">
        <v>246854</v>
      </c>
      <c r="F60">
        <v>-2.3278099999999999</v>
      </c>
      <c r="G60">
        <v>52.119549999999997</v>
      </c>
      <c r="H60">
        <v>22</v>
      </c>
      <c r="I60">
        <v>3</v>
      </c>
      <c r="J60" t="str">
        <f>VLOOKUP(I60, Lookups!$B$1:$C$4, 2, FALSE)</f>
        <v>Slight</v>
      </c>
      <c r="K60">
        <v>2</v>
      </c>
      <c r="L60">
        <v>1</v>
      </c>
      <c r="M60" s="1">
        <v>45737</v>
      </c>
      <c r="N60">
        <v>6</v>
      </c>
      <c r="O60" t="str">
        <f>VLOOKUP(N60, Lookups!$B$6:$C$12, 2, FALSE)</f>
        <v>Friday</v>
      </c>
      <c r="P60" s="2">
        <v>0.59375</v>
      </c>
      <c r="Q60">
        <v>-1</v>
      </c>
      <c r="R60" t="s">
        <v>49</v>
      </c>
      <c r="S60" t="s">
        <v>45</v>
      </c>
      <c r="T60" t="s">
        <v>45</v>
      </c>
      <c r="U60">
        <v>6</v>
      </c>
      <c r="V60" t="str">
        <f>VLOOKUP(U60, Lookups!$B$51:$C$57, 2, FALSE)</f>
        <v>Unclassified</v>
      </c>
      <c r="W60">
        <v>0</v>
      </c>
      <c r="X60" t="s">
        <v>362</v>
      </c>
      <c r="Y60">
        <v>6</v>
      </c>
      <c r="Z60" t="str">
        <f>VLOOKUP(Y60, Lookups!$B$14:$C$21, 2, FALSE)</f>
        <v>Single carriageway</v>
      </c>
      <c r="AA60">
        <v>30</v>
      </c>
      <c r="AB60">
        <v>-1</v>
      </c>
      <c r="AC60">
        <v>0</v>
      </c>
      <c r="AD60">
        <v>-1</v>
      </c>
      <c r="AE60">
        <v>0</v>
      </c>
      <c r="AF60">
        <v>-1</v>
      </c>
      <c r="AG60">
        <v>-1</v>
      </c>
      <c r="AH60">
        <v>-1</v>
      </c>
      <c r="AI60">
        <v>0</v>
      </c>
      <c r="AJ60">
        <v>1</v>
      </c>
      <c r="AK60" t="str">
        <f>VLOOKUP(AJ60, Lookups!$B$23:$C$28, 2, FALSE)</f>
        <v>Daylight</v>
      </c>
      <c r="AL60">
        <v>1</v>
      </c>
      <c r="AM60" t="str">
        <f>VLOOKUP(AL60, Lookups!$B$30:$C$39, 2, FALSE)</f>
        <v>Fine / Clear</v>
      </c>
      <c r="AN60">
        <v>1</v>
      </c>
      <c r="AO60" t="str">
        <f>VLOOKUP(AN60, Lookups!$B$41:$C$49, 2, FALSE)</f>
        <v>Dry</v>
      </c>
      <c r="AP60">
        <v>-1</v>
      </c>
      <c r="AQ60">
        <v>-1</v>
      </c>
      <c r="AR60">
        <v>0</v>
      </c>
      <c r="AS60">
        <v>1</v>
      </c>
      <c r="AT60">
        <v>3</v>
      </c>
      <c r="AU60">
        <v>2</v>
      </c>
      <c r="AV60" t="s">
        <v>102</v>
      </c>
      <c r="AW60">
        <v>3</v>
      </c>
      <c r="AX60">
        <v>1</v>
      </c>
      <c r="AY60">
        <v>0</v>
      </c>
      <c r="AZ60">
        <v>1</v>
      </c>
    </row>
    <row r="61" spans="1:52" x14ac:dyDescent="0.35">
      <c r="A61">
        <v>2025221665606</v>
      </c>
      <c r="B61">
        <v>2025</v>
      </c>
      <c r="C61">
        <v>221665606</v>
      </c>
      <c r="D61">
        <v>395361</v>
      </c>
      <c r="E61">
        <v>268911</v>
      </c>
      <c r="F61">
        <v>-2.06948</v>
      </c>
      <c r="G61">
        <v>52.318280000000001</v>
      </c>
      <c r="H61">
        <v>22</v>
      </c>
      <c r="I61">
        <v>3</v>
      </c>
      <c r="J61" t="str">
        <f>VLOOKUP(I61, Lookups!$B$1:$C$4, 2, FALSE)</f>
        <v>Slight</v>
      </c>
      <c r="K61">
        <v>2</v>
      </c>
      <c r="L61">
        <v>1</v>
      </c>
      <c r="M61" s="1">
        <v>45968</v>
      </c>
      <c r="N61">
        <v>6</v>
      </c>
      <c r="O61" t="str">
        <f>VLOOKUP(N61, Lookups!$B$6:$C$12, 2, FALSE)</f>
        <v>Friday</v>
      </c>
      <c r="P61" s="2">
        <v>0.95138888888888884</v>
      </c>
      <c r="Q61">
        <v>-1</v>
      </c>
      <c r="R61" t="s">
        <v>47</v>
      </c>
      <c r="S61" t="s">
        <v>45</v>
      </c>
      <c r="T61" t="s">
        <v>45</v>
      </c>
      <c r="U61">
        <v>6</v>
      </c>
      <c r="V61" t="str">
        <f>VLOOKUP(U61, Lookups!$B$51:$C$57, 2, FALSE)</f>
        <v>Unclassified</v>
      </c>
      <c r="W61">
        <v>0</v>
      </c>
      <c r="X61" t="s">
        <v>362</v>
      </c>
      <c r="Y61">
        <v>6</v>
      </c>
      <c r="Z61" t="str">
        <f>VLOOKUP(Y61, Lookups!$B$14:$C$21, 2, FALSE)</f>
        <v>Single carriageway</v>
      </c>
      <c r="AA61">
        <v>30</v>
      </c>
      <c r="AB61">
        <v>-1</v>
      </c>
      <c r="AC61">
        <v>13</v>
      </c>
      <c r="AD61">
        <v>4</v>
      </c>
      <c r="AE61">
        <v>6</v>
      </c>
      <c r="AF61">
        <v>0</v>
      </c>
      <c r="AG61">
        <v>-1</v>
      </c>
      <c r="AH61">
        <v>-1</v>
      </c>
      <c r="AI61">
        <v>0</v>
      </c>
      <c r="AJ61">
        <v>4</v>
      </c>
      <c r="AK61" t="str">
        <f>VLOOKUP(AJ61, Lookups!$B$23:$C$28, 2, FALSE)</f>
        <v>Darkness (Lit)</v>
      </c>
      <c r="AL61">
        <v>2</v>
      </c>
      <c r="AM61" t="str">
        <f>VLOOKUP(AL61, Lookups!$B$30:$C$39, 2, FALSE)</f>
        <v>Rain</v>
      </c>
      <c r="AN61">
        <v>2</v>
      </c>
      <c r="AO61" t="str">
        <f>VLOOKUP(AN61, Lookups!$B$41:$C$49, 2, FALSE)</f>
        <v>Wet / damp</v>
      </c>
      <c r="AP61">
        <v>-1</v>
      </c>
      <c r="AQ61">
        <v>-1</v>
      </c>
      <c r="AR61">
        <v>0</v>
      </c>
      <c r="AS61">
        <v>1</v>
      </c>
      <c r="AT61">
        <v>1</v>
      </c>
      <c r="AU61">
        <v>2</v>
      </c>
      <c r="AV61" t="s">
        <v>103</v>
      </c>
      <c r="AW61">
        <v>3</v>
      </c>
      <c r="AX61">
        <v>1</v>
      </c>
      <c r="AY61">
        <v>0</v>
      </c>
      <c r="AZ61">
        <v>1</v>
      </c>
    </row>
    <row r="62" spans="1:52" x14ac:dyDescent="0.35">
      <c r="A62">
        <v>2025221682169</v>
      </c>
      <c r="B62">
        <v>2025</v>
      </c>
      <c r="C62">
        <v>221682169</v>
      </c>
      <c r="D62">
        <v>384604</v>
      </c>
      <c r="E62">
        <v>256927</v>
      </c>
      <c r="F62">
        <v>-2.2267399999999999</v>
      </c>
      <c r="G62">
        <v>52.210340000000002</v>
      </c>
      <c r="H62">
        <v>22</v>
      </c>
      <c r="I62">
        <v>3</v>
      </c>
      <c r="J62" t="str">
        <f>VLOOKUP(I62, Lookups!$B$1:$C$4, 2, FALSE)</f>
        <v>Slight</v>
      </c>
      <c r="K62">
        <v>2</v>
      </c>
      <c r="L62">
        <v>1</v>
      </c>
      <c r="M62" s="1">
        <v>46002</v>
      </c>
      <c r="N62">
        <v>5</v>
      </c>
      <c r="O62" t="str">
        <f>VLOOKUP(N62, Lookups!$B$6:$C$12, 2, FALSE)</f>
        <v>Thursday</v>
      </c>
      <c r="P62" s="2">
        <v>0.78819444444444442</v>
      </c>
      <c r="Q62">
        <v>-1</v>
      </c>
      <c r="R62" t="s">
        <v>60</v>
      </c>
      <c r="S62" t="s">
        <v>45</v>
      </c>
      <c r="T62" t="s">
        <v>45</v>
      </c>
      <c r="U62">
        <v>3</v>
      </c>
      <c r="V62" t="str">
        <f>VLOOKUP(U62, Lookups!$B$51:$C$57, 2, FALSE)</f>
        <v>A</v>
      </c>
      <c r="W62">
        <v>449</v>
      </c>
      <c r="X62" t="str">
        <f t="shared" ref="X62:X69" si="10">V62&amp;W62</f>
        <v>A449</v>
      </c>
      <c r="Y62">
        <v>6</v>
      </c>
      <c r="Z62" t="str">
        <f>VLOOKUP(Y62, Lookups!$B$14:$C$21, 2, FALSE)</f>
        <v>Single carriageway</v>
      </c>
      <c r="AA62">
        <v>30</v>
      </c>
      <c r="AB62">
        <v>-1</v>
      </c>
      <c r="AC62">
        <v>19</v>
      </c>
      <c r="AD62">
        <v>4</v>
      </c>
      <c r="AE62">
        <v>6</v>
      </c>
      <c r="AF62">
        <v>0</v>
      </c>
      <c r="AG62">
        <v>-1</v>
      </c>
      <c r="AH62">
        <v>-1</v>
      </c>
      <c r="AI62">
        <v>0</v>
      </c>
      <c r="AJ62">
        <v>4</v>
      </c>
      <c r="AK62" t="str">
        <f>VLOOKUP(AJ62, Lookups!$B$23:$C$28, 2, FALSE)</f>
        <v>Darkness (Lit)</v>
      </c>
      <c r="AL62">
        <v>1</v>
      </c>
      <c r="AM62" t="str">
        <f>VLOOKUP(AL62, Lookups!$B$30:$C$39, 2, FALSE)</f>
        <v>Fine / Clear</v>
      </c>
      <c r="AN62">
        <v>2</v>
      </c>
      <c r="AO62" t="str">
        <f>VLOOKUP(AN62, Lookups!$B$41:$C$49, 2, FALSE)</f>
        <v>Wet / damp</v>
      </c>
      <c r="AP62">
        <v>-1</v>
      </c>
      <c r="AQ62">
        <v>-1</v>
      </c>
      <c r="AR62">
        <v>0</v>
      </c>
      <c r="AS62">
        <v>1</v>
      </c>
      <c r="AT62">
        <v>3</v>
      </c>
      <c r="AU62">
        <v>2</v>
      </c>
      <c r="AV62" t="s">
        <v>104</v>
      </c>
      <c r="AW62">
        <v>3</v>
      </c>
      <c r="AX62">
        <v>1</v>
      </c>
      <c r="AY62">
        <v>0</v>
      </c>
      <c r="AZ62">
        <v>1</v>
      </c>
    </row>
    <row r="63" spans="1:52" x14ac:dyDescent="0.35">
      <c r="A63">
        <v>2025221576791</v>
      </c>
      <c r="B63">
        <v>2025</v>
      </c>
      <c r="C63">
        <v>221576791</v>
      </c>
      <c r="D63">
        <v>382139</v>
      </c>
      <c r="E63">
        <v>276534</v>
      </c>
      <c r="F63">
        <v>-2.2638600000000002</v>
      </c>
      <c r="G63">
        <v>52.386539999999997</v>
      </c>
      <c r="H63">
        <v>22</v>
      </c>
      <c r="I63">
        <v>3</v>
      </c>
      <c r="J63" t="str">
        <f>VLOOKUP(I63, Lookups!$B$1:$C$4, 2, FALSE)</f>
        <v>Slight</v>
      </c>
      <c r="K63">
        <v>1</v>
      </c>
      <c r="L63">
        <v>1</v>
      </c>
      <c r="M63" s="1">
        <v>45750</v>
      </c>
      <c r="N63">
        <v>5</v>
      </c>
      <c r="O63" t="str">
        <f>VLOOKUP(N63, Lookups!$B$6:$C$12, 2, FALSE)</f>
        <v>Thursday</v>
      </c>
      <c r="P63" s="2">
        <v>0.55208333333333337</v>
      </c>
      <c r="Q63">
        <v>-1</v>
      </c>
      <c r="R63" t="s">
        <v>44</v>
      </c>
      <c r="S63" t="s">
        <v>45</v>
      </c>
      <c r="T63" t="s">
        <v>45</v>
      </c>
      <c r="U63">
        <v>3</v>
      </c>
      <c r="V63" t="str">
        <f>VLOOKUP(U63, Lookups!$B$51:$C$57, 2, FALSE)</f>
        <v>A</v>
      </c>
      <c r="W63">
        <v>4535</v>
      </c>
      <c r="X63" t="str">
        <f t="shared" si="10"/>
        <v>A4535</v>
      </c>
      <c r="Y63">
        <v>6</v>
      </c>
      <c r="Z63" t="str">
        <f>VLOOKUP(Y63, Lookups!$B$14:$C$21, 2, FALSE)</f>
        <v>Single carriageway</v>
      </c>
      <c r="AA63">
        <v>30</v>
      </c>
      <c r="AB63">
        <v>-1</v>
      </c>
      <c r="AC63">
        <v>13</v>
      </c>
      <c r="AD63">
        <v>4</v>
      </c>
      <c r="AE63">
        <v>6</v>
      </c>
      <c r="AF63">
        <v>0</v>
      </c>
      <c r="AG63">
        <v>-1</v>
      </c>
      <c r="AH63">
        <v>-1</v>
      </c>
      <c r="AI63">
        <v>0</v>
      </c>
      <c r="AJ63">
        <v>1</v>
      </c>
      <c r="AK63" t="str">
        <f>VLOOKUP(AJ63, Lookups!$B$23:$C$28, 2, FALSE)</f>
        <v>Daylight</v>
      </c>
      <c r="AL63">
        <v>1</v>
      </c>
      <c r="AM63" t="str">
        <f>VLOOKUP(AL63, Lookups!$B$30:$C$39, 2, FALSE)</f>
        <v>Fine / Clear</v>
      </c>
      <c r="AN63">
        <v>1</v>
      </c>
      <c r="AO63" t="str">
        <f>VLOOKUP(AN63, Lookups!$B$41:$C$49, 2, FALSE)</f>
        <v>Dry</v>
      </c>
      <c r="AP63">
        <v>-1</v>
      </c>
      <c r="AQ63">
        <v>-1</v>
      </c>
      <c r="AR63">
        <v>0</v>
      </c>
      <c r="AS63">
        <v>1</v>
      </c>
      <c r="AT63">
        <v>1</v>
      </c>
      <c r="AU63">
        <v>2</v>
      </c>
      <c r="AV63" t="s">
        <v>105</v>
      </c>
      <c r="AW63">
        <v>3</v>
      </c>
      <c r="AX63">
        <v>1</v>
      </c>
      <c r="AY63">
        <v>0</v>
      </c>
      <c r="AZ63">
        <v>1</v>
      </c>
    </row>
    <row r="64" spans="1:52" x14ac:dyDescent="0.35">
      <c r="A64">
        <v>2025221620815</v>
      </c>
      <c r="B64">
        <v>2025</v>
      </c>
      <c r="C64">
        <v>221620815</v>
      </c>
      <c r="D64">
        <v>382351</v>
      </c>
      <c r="E64">
        <v>251080</v>
      </c>
      <c r="F64">
        <v>-2.2593999999999999</v>
      </c>
      <c r="G64">
        <v>52.157710000000002</v>
      </c>
      <c r="H64">
        <v>22</v>
      </c>
      <c r="I64">
        <v>3</v>
      </c>
      <c r="J64" t="str">
        <f>VLOOKUP(I64, Lookups!$B$1:$C$4, 2, FALSE)</f>
        <v>Slight</v>
      </c>
      <c r="K64">
        <v>2</v>
      </c>
      <c r="L64">
        <v>1</v>
      </c>
      <c r="M64" s="1">
        <v>45863</v>
      </c>
      <c r="N64">
        <v>6</v>
      </c>
      <c r="O64" t="str">
        <f>VLOOKUP(N64, Lookups!$B$6:$C$12, 2, FALSE)</f>
        <v>Friday</v>
      </c>
      <c r="P64" s="2">
        <v>0.61388888888888893</v>
      </c>
      <c r="Q64">
        <v>-1</v>
      </c>
      <c r="R64" t="s">
        <v>49</v>
      </c>
      <c r="S64" t="s">
        <v>45</v>
      </c>
      <c r="T64" t="s">
        <v>45</v>
      </c>
      <c r="U64">
        <v>3</v>
      </c>
      <c r="V64" t="str">
        <f>VLOOKUP(U64, Lookups!$B$51:$C$57, 2, FALSE)</f>
        <v>A</v>
      </c>
      <c r="W64">
        <v>449</v>
      </c>
      <c r="X64" t="str">
        <f t="shared" si="10"/>
        <v>A449</v>
      </c>
      <c r="Y64">
        <v>6</v>
      </c>
      <c r="Z64" t="str">
        <f>VLOOKUP(Y64, Lookups!$B$14:$C$21, 2, FALSE)</f>
        <v>Single carriageway</v>
      </c>
      <c r="AA64">
        <v>60</v>
      </c>
      <c r="AB64">
        <v>-1</v>
      </c>
      <c r="AC64">
        <v>13</v>
      </c>
      <c r="AD64">
        <v>4</v>
      </c>
      <c r="AE64">
        <v>6</v>
      </c>
      <c r="AF64">
        <v>0</v>
      </c>
      <c r="AG64">
        <v>-1</v>
      </c>
      <c r="AH64">
        <v>-1</v>
      </c>
      <c r="AI64">
        <v>0</v>
      </c>
      <c r="AJ64">
        <v>1</v>
      </c>
      <c r="AK64" t="str">
        <f>VLOOKUP(AJ64, Lookups!$B$23:$C$28, 2, FALSE)</f>
        <v>Daylight</v>
      </c>
      <c r="AL64">
        <v>1</v>
      </c>
      <c r="AM64" t="str">
        <f>VLOOKUP(AL64, Lookups!$B$30:$C$39, 2, FALSE)</f>
        <v>Fine / Clear</v>
      </c>
      <c r="AN64">
        <v>1</v>
      </c>
      <c r="AO64" t="str">
        <f>VLOOKUP(AN64, Lookups!$B$41:$C$49, 2, FALSE)</f>
        <v>Dry</v>
      </c>
      <c r="AP64">
        <v>-1</v>
      </c>
      <c r="AQ64">
        <v>-1</v>
      </c>
      <c r="AR64">
        <v>0</v>
      </c>
      <c r="AS64">
        <v>2</v>
      </c>
      <c r="AT64">
        <v>1</v>
      </c>
      <c r="AU64">
        <v>2</v>
      </c>
      <c r="AV64" t="s">
        <v>65</v>
      </c>
      <c r="AW64">
        <v>3</v>
      </c>
      <c r="AX64">
        <v>1</v>
      </c>
      <c r="AY64">
        <v>0</v>
      </c>
      <c r="AZ64">
        <v>1</v>
      </c>
    </row>
    <row r="65" spans="1:52" x14ac:dyDescent="0.35">
      <c r="A65">
        <v>2025221643827</v>
      </c>
      <c r="B65">
        <v>2025</v>
      </c>
      <c r="C65">
        <v>221643827</v>
      </c>
      <c r="D65">
        <v>403756</v>
      </c>
      <c r="E65">
        <v>244214</v>
      </c>
      <c r="F65">
        <v>-1.94659</v>
      </c>
      <c r="G65">
        <v>52.096260000000001</v>
      </c>
      <c r="H65">
        <v>22</v>
      </c>
      <c r="I65">
        <v>2</v>
      </c>
      <c r="J65" t="str">
        <f>VLOOKUP(I65, Lookups!$B$1:$C$4, 2, FALSE)</f>
        <v>Serious</v>
      </c>
      <c r="K65">
        <v>1</v>
      </c>
      <c r="L65">
        <v>1</v>
      </c>
      <c r="M65" s="1">
        <v>45913</v>
      </c>
      <c r="N65">
        <v>7</v>
      </c>
      <c r="O65" t="str">
        <f>VLOOKUP(N65, Lookups!$B$6:$C$12, 2, FALSE)</f>
        <v>Saturday</v>
      </c>
      <c r="P65" s="2">
        <v>0.1111111111111111</v>
      </c>
      <c r="Q65">
        <v>-1</v>
      </c>
      <c r="R65" t="s">
        <v>54</v>
      </c>
      <c r="S65" t="s">
        <v>45</v>
      </c>
      <c r="T65" t="s">
        <v>45</v>
      </c>
      <c r="U65">
        <v>3</v>
      </c>
      <c r="V65" t="str">
        <f>VLOOKUP(U65, Lookups!$B$51:$C$57, 2, FALSE)</f>
        <v>A</v>
      </c>
      <c r="W65">
        <v>4184</v>
      </c>
      <c r="X65" t="str">
        <f t="shared" si="10"/>
        <v>A4184</v>
      </c>
      <c r="Y65">
        <v>6</v>
      </c>
      <c r="Z65" t="str">
        <f>VLOOKUP(Y65, Lookups!$B$14:$C$21, 2, FALSE)</f>
        <v>Single carriageway</v>
      </c>
      <c r="AA65">
        <v>30</v>
      </c>
      <c r="AB65">
        <v>-1</v>
      </c>
      <c r="AC65">
        <v>0</v>
      </c>
      <c r="AD65">
        <v>-1</v>
      </c>
      <c r="AE65">
        <v>6</v>
      </c>
      <c r="AF65">
        <v>0</v>
      </c>
      <c r="AG65">
        <v>-1</v>
      </c>
      <c r="AH65">
        <v>-1</v>
      </c>
      <c r="AI65">
        <v>0</v>
      </c>
      <c r="AJ65">
        <v>4</v>
      </c>
      <c r="AK65" t="str">
        <f>VLOOKUP(AJ65, Lookups!$B$23:$C$28, 2, FALSE)</f>
        <v>Darkness (Lit)</v>
      </c>
      <c r="AL65">
        <v>1</v>
      </c>
      <c r="AM65" t="str">
        <f>VLOOKUP(AL65, Lookups!$B$30:$C$39, 2, FALSE)</f>
        <v>Fine / Clear</v>
      </c>
      <c r="AN65">
        <v>1</v>
      </c>
      <c r="AO65" t="str">
        <f>VLOOKUP(AN65, Lookups!$B$41:$C$49, 2, FALSE)</f>
        <v>Dry</v>
      </c>
      <c r="AP65">
        <v>-1</v>
      </c>
      <c r="AQ65">
        <v>-1</v>
      </c>
      <c r="AR65">
        <v>0</v>
      </c>
      <c r="AS65">
        <v>1</v>
      </c>
      <c r="AT65">
        <v>1</v>
      </c>
      <c r="AU65">
        <v>2</v>
      </c>
      <c r="AV65" t="s">
        <v>106</v>
      </c>
      <c r="AW65">
        <v>7</v>
      </c>
      <c r="AX65">
        <v>1</v>
      </c>
      <c r="AY65">
        <v>1</v>
      </c>
      <c r="AZ65">
        <v>0</v>
      </c>
    </row>
    <row r="66" spans="1:52" x14ac:dyDescent="0.35">
      <c r="A66">
        <v>2025221672691</v>
      </c>
      <c r="B66">
        <v>2025</v>
      </c>
      <c r="C66">
        <v>221672691</v>
      </c>
      <c r="D66">
        <v>389395</v>
      </c>
      <c r="E66">
        <v>256891</v>
      </c>
      <c r="F66">
        <v>-2.1566200000000002</v>
      </c>
      <c r="G66">
        <v>52.210140000000003</v>
      </c>
      <c r="H66">
        <v>22</v>
      </c>
      <c r="I66">
        <v>3</v>
      </c>
      <c r="J66" t="str">
        <f>VLOOKUP(I66, Lookups!$B$1:$C$4, 2, FALSE)</f>
        <v>Slight</v>
      </c>
      <c r="K66">
        <v>1</v>
      </c>
      <c r="L66">
        <v>2</v>
      </c>
      <c r="M66" s="1">
        <v>45984</v>
      </c>
      <c r="N66">
        <v>1</v>
      </c>
      <c r="O66" t="str">
        <f>VLOOKUP(N66, Lookups!$B$6:$C$12, 2, FALSE)</f>
        <v>Sunday</v>
      </c>
      <c r="P66" s="2">
        <v>0.75972222222222219</v>
      </c>
      <c r="Q66">
        <v>-1</v>
      </c>
      <c r="R66" t="s">
        <v>54</v>
      </c>
      <c r="S66" t="s">
        <v>45</v>
      </c>
      <c r="T66" t="s">
        <v>45</v>
      </c>
      <c r="U66">
        <v>3</v>
      </c>
      <c r="V66" t="str">
        <f>VLOOKUP(U66, Lookups!$B$51:$C$57, 2, FALSE)</f>
        <v>A</v>
      </c>
      <c r="W66">
        <v>4538</v>
      </c>
      <c r="X66" t="str">
        <f t="shared" si="10"/>
        <v>A4538</v>
      </c>
      <c r="Y66">
        <v>6</v>
      </c>
      <c r="Z66" t="str">
        <f>VLOOKUP(Y66, Lookups!$B$14:$C$21, 2, FALSE)</f>
        <v>Single carriageway</v>
      </c>
      <c r="AA66">
        <v>60</v>
      </c>
      <c r="AB66">
        <v>-1</v>
      </c>
      <c r="AC66">
        <v>0</v>
      </c>
      <c r="AD66">
        <v>-1</v>
      </c>
      <c r="AE66">
        <v>0</v>
      </c>
      <c r="AF66">
        <v>-1</v>
      </c>
      <c r="AG66">
        <v>-1</v>
      </c>
      <c r="AH66">
        <v>-1</v>
      </c>
      <c r="AI66">
        <v>0</v>
      </c>
      <c r="AJ66">
        <v>6</v>
      </c>
      <c r="AK66" t="str">
        <f>VLOOKUP(AJ66, Lookups!$B$23:$C$28, 2, FALSE)</f>
        <v>Darkness (Unlit)</v>
      </c>
      <c r="AL66">
        <v>1</v>
      </c>
      <c r="AM66" t="str">
        <f>VLOOKUP(AL66, Lookups!$B$30:$C$39, 2, FALSE)</f>
        <v>Fine / Clear</v>
      </c>
      <c r="AN66">
        <v>1</v>
      </c>
      <c r="AO66" t="str">
        <f>VLOOKUP(AN66, Lookups!$B$41:$C$49, 2, FALSE)</f>
        <v>Dry</v>
      </c>
      <c r="AP66">
        <v>-1</v>
      </c>
      <c r="AQ66">
        <v>-1</v>
      </c>
      <c r="AR66">
        <v>0</v>
      </c>
      <c r="AS66">
        <v>2</v>
      </c>
      <c r="AT66">
        <v>1</v>
      </c>
      <c r="AU66">
        <v>2</v>
      </c>
      <c r="AV66" t="s">
        <v>107</v>
      </c>
      <c r="AW66">
        <v>3</v>
      </c>
      <c r="AX66">
        <v>1</v>
      </c>
      <c r="AY66">
        <v>0</v>
      </c>
      <c r="AZ66">
        <v>1</v>
      </c>
    </row>
    <row r="67" spans="1:52" x14ac:dyDescent="0.35">
      <c r="A67">
        <v>2025221608584</v>
      </c>
      <c r="B67">
        <v>2025</v>
      </c>
      <c r="C67">
        <v>221608584</v>
      </c>
      <c r="D67">
        <v>395534</v>
      </c>
      <c r="E67">
        <v>244936</v>
      </c>
      <c r="F67">
        <v>-2.0666199999999999</v>
      </c>
      <c r="G67">
        <v>52.102739999999997</v>
      </c>
      <c r="H67">
        <v>22</v>
      </c>
      <c r="I67">
        <v>1</v>
      </c>
      <c r="J67" t="str">
        <f>VLOOKUP(I67, Lookups!$B$1:$C$4, 2, FALSE)</f>
        <v>Fatal</v>
      </c>
      <c r="K67">
        <v>1</v>
      </c>
      <c r="L67">
        <v>1</v>
      </c>
      <c r="M67" s="1">
        <v>45835</v>
      </c>
      <c r="N67">
        <v>6</v>
      </c>
      <c r="O67" t="str">
        <f>VLOOKUP(N67, Lookups!$B$6:$C$12, 2, FALSE)</f>
        <v>Friday</v>
      </c>
      <c r="P67" s="2">
        <v>0.80625000000000002</v>
      </c>
      <c r="Q67">
        <v>-1</v>
      </c>
      <c r="R67" t="s">
        <v>54</v>
      </c>
      <c r="S67" t="s">
        <v>45</v>
      </c>
      <c r="T67" t="s">
        <v>45</v>
      </c>
      <c r="U67">
        <v>4</v>
      </c>
      <c r="V67" t="str">
        <f>VLOOKUP(U67, Lookups!$B$51:$C$57, 2, FALSE)</f>
        <v>B</v>
      </c>
      <c r="W67">
        <v>4084</v>
      </c>
      <c r="X67" t="str">
        <f t="shared" si="10"/>
        <v>B4084</v>
      </c>
      <c r="Y67">
        <v>6</v>
      </c>
      <c r="Z67" t="str">
        <f>VLOOKUP(Y67, Lookups!$B$14:$C$21, 2, FALSE)</f>
        <v>Single carriageway</v>
      </c>
      <c r="AA67">
        <v>40</v>
      </c>
      <c r="AB67">
        <v>-1</v>
      </c>
      <c r="AC67">
        <v>0</v>
      </c>
      <c r="AD67">
        <v>-1</v>
      </c>
      <c r="AE67">
        <v>0</v>
      </c>
      <c r="AF67">
        <v>-1</v>
      </c>
      <c r="AG67">
        <v>-1</v>
      </c>
      <c r="AH67">
        <v>-1</v>
      </c>
      <c r="AI67">
        <v>0</v>
      </c>
      <c r="AJ67">
        <v>1</v>
      </c>
      <c r="AK67" t="str">
        <f>VLOOKUP(AJ67, Lookups!$B$23:$C$28, 2, FALSE)</f>
        <v>Daylight</v>
      </c>
      <c r="AL67">
        <v>1</v>
      </c>
      <c r="AM67" t="str">
        <f>VLOOKUP(AL67, Lookups!$B$30:$C$39, 2, FALSE)</f>
        <v>Fine / Clear</v>
      </c>
      <c r="AN67">
        <v>1</v>
      </c>
      <c r="AO67" t="str">
        <f>VLOOKUP(AN67, Lookups!$B$41:$C$49, 2, FALSE)</f>
        <v>Dry</v>
      </c>
      <c r="AP67">
        <v>-1</v>
      </c>
      <c r="AQ67">
        <v>-1</v>
      </c>
      <c r="AR67">
        <v>0</v>
      </c>
      <c r="AS67">
        <v>2</v>
      </c>
      <c r="AT67">
        <v>1</v>
      </c>
      <c r="AU67">
        <v>2</v>
      </c>
      <c r="AV67" t="s">
        <v>108</v>
      </c>
      <c r="AW67">
        <v>1</v>
      </c>
      <c r="AX67">
        <v>1</v>
      </c>
      <c r="AY67">
        <v>0</v>
      </c>
      <c r="AZ67">
        <v>0</v>
      </c>
    </row>
    <row r="68" spans="1:52" x14ac:dyDescent="0.35">
      <c r="A68">
        <v>2025221658212</v>
      </c>
      <c r="B68">
        <v>2025</v>
      </c>
      <c r="C68">
        <v>221658212</v>
      </c>
      <c r="D68">
        <v>390546</v>
      </c>
      <c r="E68">
        <v>280490</v>
      </c>
      <c r="F68">
        <v>-2.14045</v>
      </c>
      <c r="G68">
        <v>52.422319999999999</v>
      </c>
      <c r="H68">
        <v>22</v>
      </c>
      <c r="I68">
        <v>3</v>
      </c>
      <c r="J68" t="str">
        <f>VLOOKUP(I68, Lookups!$B$1:$C$4, 2, FALSE)</f>
        <v>Slight</v>
      </c>
      <c r="K68">
        <v>2</v>
      </c>
      <c r="L68">
        <v>1</v>
      </c>
      <c r="M68" s="1">
        <v>45952</v>
      </c>
      <c r="N68">
        <v>4</v>
      </c>
      <c r="O68" t="str">
        <f>VLOOKUP(N68, Lookups!$B$6:$C$12, 2, FALSE)</f>
        <v>Wednesday</v>
      </c>
      <c r="P68" s="2">
        <v>0.66666666666666663</v>
      </c>
      <c r="Q68">
        <v>-1</v>
      </c>
      <c r="R68" t="s">
        <v>47</v>
      </c>
      <c r="S68" t="s">
        <v>45</v>
      </c>
      <c r="T68" t="s">
        <v>45</v>
      </c>
      <c r="U68">
        <v>4</v>
      </c>
      <c r="V68" t="str">
        <f>VLOOKUP(U68, Lookups!$B$51:$C$57, 2, FALSE)</f>
        <v>B</v>
      </c>
      <c r="W68">
        <v>4187</v>
      </c>
      <c r="X68" t="str">
        <f t="shared" si="10"/>
        <v>B4187</v>
      </c>
      <c r="Y68">
        <v>6</v>
      </c>
      <c r="Z68" t="str">
        <f>VLOOKUP(Y68, Lookups!$B$14:$C$21, 2, FALSE)</f>
        <v>Single carriageway</v>
      </c>
      <c r="AA68">
        <v>30</v>
      </c>
      <c r="AB68">
        <v>-1</v>
      </c>
      <c r="AC68">
        <v>13</v>
      </c>
      <c r="AD68">
        <v>4</v>
      </c>
      <c r="AE68">
        <v>6</v>
      </c>
      <c r="AF68">
        <v>0</v>
      </c>
      <c r="AG68">
        <v>-1</v>
      </c>
      <c r="AH68">
        <v>-1</v>
      </c>
      <c r="AI68">
        <v>-1</v>
      </c>
      <c r="AJ68">
        <v>1</v>
      </c>
      <c r="AK68" t="str">
        <f>VLOOKUP(AJ68, Lookups!$B$23:$C$28, 2, FALSE)</f>
        <v>Daylight</v>
      </c>
      <c r="AL68">
        <v>1</v>
      </c>
      <c r="AM68" t="str">
        <f>VLOOKUP(AL68, Lookups!$B$30:$C$39, 2, FALSE)</f>
        <v>Fine / Clear</v>
      </c>
      <c r="AN68">
        <v>1</v>
      </c>
      <c r="AO68" t="str">
        <f>VLOOKUP(AN68, Lookups!$B$41:$C$49, 2, FALSE)</f>
        <v>Dry</v>
      </c>
      <c r="AP68">
        <v>-1</v>
      </c>
      <c r="AQ68">
        <v>-1</v>
      </c>
      <c r="AR68">
        <v>-1</v>
      </c>
      <c r="AS68">
        <v>1</v>
      </c>
      <c r="AT68">
        <v>3</v>
      </c>
      <c r="AU68">
        <v>2</v>
      </c>
      <c r="AV68" t="s">
        <v>73</v>
      </c>
      <c r="AW68">
        <v>3</v>
      </c>
      <c r="AX68">
        <v>1</v>
      </c>
      <c r="AY68">
        <v>0</v>
      </c>
      <c r="AZ68">
        <v>1</v>
      </c>
    </row>
    <row r="69" spans="1:52" x14ac:dyDescent="0.35">
      <c r="A69">
        <v>2025221666507</v>
      </c>
      <c r="B69">
        <v>2025</v>
      </c>
      <c r="C69">
        <v>221666507</v>
      </c>
      <c r="D69">
        <v>384836</v>
      </c>
      <c r="E69">
        <v>257070</v>
      </c>
      <c r="F69">
        <v>-2.2233499999999999</v>
      </c>
      <c r="G69">
        <v>52.211640000000003</v>
      </c>
      <c r="H69">
        <v>22</v>
      </c>
      <c r="I69">
        <v>3</v>
      </c>
      <c r="J69" t="str">
        <f>VLOOKUP(I69, Lookups!$B$1:$C$4, 2, FALSE)</f>
        <v>Slight</v>
      </c>
      <c r="K69">
        <v>1</v>
      </c>
      <c r="L69">
        <v>1</v>
      </c>
      <c r="M69" s="1">
        <v>45972</v>
      </c>
      <c r="N69">
        <v>3</v>
      </c>
      <c r="O69" t="str">
        <f>VLOOKUP(N69, Lookups!$B$6:$C$12, 2, FALSE)</f>
        <v>Tuesday</v>
      </c>
      <c r="P69" s="2">
        <v>0.32708333333333334</v>
      </c>
      <c r="Q69">
        <v>-1</v>
      </c>
      <c r="R69" t="s">
        <v>60</v>
      </c>
      <c r="S69" t="s">
        <v>45</v>
      </c>
      <c r="T69" t="s">
        <v>45</v>
      </c>
      <c r="U69">
        <v>3</v>
      </c>
      <c r="V69" t="str">
        <f>VLOOKUP(U69, Lookups!$B$51:$C$57, 2, FALSE)</f>
        <v>A</v>
      </c>
      <c r="W69">
        <v>38</v>
      </c>
      <c r="X69" t="str">
        <f t="shared" si="10"/>
        <v>A38</v>
      </c>
      <c r="Y69">
        <v>6</v>
      </c>
      <c r="Z69" t="str">
        <f>VLOOKUP(Y69, Lookups!$B$14:$C$21, 2, FALSE)</f>
        <v>Single carriageway</v>
      </c>
      <c r="AA69">
        <v>30</v>
      </c>
      <c r="AB69">
        <v>-1</v>
      </c>
      <c r="AC69">
        <v>0</v>
      </c>
      <c r="AD69">
        <v>-1</v>
      </c>
      <c r="AE69">
        <v>6</v>
      </c>
      <c r="AF69">
        <v>0</v>
      </c>
      <c r="AG69">
        <v>-1</v>
      </c>
      <c r="AH69">
        <v>-1</v>
      </c>
      <c r="AI69">
        <v>17</v>
      </c>
      <c r="AJ69">
        <v>1</v>
      </c>
      <c r="AK69" t="str">
        <f>VLOOKUP(AJ69, Lookups!$B$23:$C$28, 2, FALSE)</f>
        <v>Daylight</v>
      </c>
      <c r="AL69">
        <v>2</v>
      </c>
      <c r="AM69" t="str">
        <f>VLOOKUP(AL69, Lookups!$B$30:$C$39, 2, FALSE)</f>
        <v>Rain</v>
      </c>
      <c r="AN69">
        <v>2</v>
      </c>
      <c r="AO69" t="str">
        <f>VLOOKUP(AN69, Lookups!$B$41:$C$49, 2, FALSE)</f>
        <v>Wet / damp</v>
      </c>
      <c r="AP69">
        <v>-1</v>
      </c>
      <c r="AQ69">
        <v>-1</v>
      </c>
      <c r="AR69">
        <v>0</v>
      </c>
      <c r="AS69">
        <v>1</v>
      </c>
      <c r="AT69">
        <v>3</v>
      </c>
      <c r="AU69">
        <v>2</v>
      </c>
      <c r="AV69" t="s">
        <v>109</v>
      </c>
      <c r="AW69">
        <v>3</v>
      </c>
      <c r="AX69">
        <v>1</v>
      </c>
      <c r="AY69">
        <v>0</v>
      </c>
      <c r="AZ69">
        <v>1</v>
      </c>
    </row>
    <row r="70" spans="1:52" x14ac:dyDescent="0.35">
      <c r="A70">
        <v>2025221575078</v>
      </c>
      <c r="B70">
        <v>2025</v>
      </c>
      <c r="C70">
        <v>221575078</v>
      </c>
      <c r="D70">
        <v>380694</v>
      </c>
      <c r="E70">
        <v>271660</v>
      </c>
      <c r="F70">
        <v>-2.2848099999999998</v>
      </c>
      <c r="G70">
        <v>52.342669999999998</v>
      </c>
      <c r="H70">
        <v>22</v>
      </c>
      <c r="I70">
        <v>3</v>
      </c>
      <c r="J70" t="str">
        <f>VLOOKUP(I70, Lookups!$B$1:$C$4, 2, FALSE)</f>
        <v>Slight</v>
      </c>
      <c r="K70">
        <v>1</v>
      </c>
      <c r="L70">
        <v>1</v>
      </c>
      <c r="M70" s="1">
        <v>45754</v>
      </c>
      <c r="N70">
        <v>2</v>
      </c>
      <c r="O70" t="str">
        <f>VLOOKUP(N70, Lookups!$B$6:$C$12, 2, FALSE)</f>
        <v>Monday</v>
      </c>
      <c r="P70" s="2">
        <v>0.78819444444444442</v>
      </c>
      <c r="Q70">
        <v>-1</v>
      </c>
      <c r="R70" t="s">
        <v>44</v>
      </c>
      <c r="S70" t="s">
        <v>45</v>
      </c>
      <c r="T70" t="s">
        <v>45</v>
      </c>
      <c r="U70">
        <v>6</v>
      </c>
      <c r="V70" t="str">
        <f>VLOOKUP(U70, Lookups!$B$51:$C$57, 2, FALSE)</f>
        <v>Unclassified</v>
      </c>
      <c r="W70">
        <v>0</v>
      </c>
      <c r="X70" t="s">
        <v>362</v>
      </c>
      <c r="Y70">
        <v>6</v>
      </c>
      <c r="Z70" t="str">
        <f>VLOOKUP(Y70, Lookups!$B$14:$C$21, 2, FALSE)</f>
        <v>Single carriageway</v>
      </c>
      <c r="AA70">
        <v>30</v>
      </c>
      <c r="AB70">
        <v>-1</v>
      </c>
      <c r="AC70">
        <v>16</v>
      </c>
      <c r="AD70">
        <v>4</v>
      </c>
      <c r="AE70">
        <v>6</v>
      </c>
      <c r="AF70">
        <v>0</v>
      </c>
      <c r="AG70">
        <v>-1</v>
      </c>
      <c r="AH70">
        <v>-1</v>
      </c>
      <c r="AI70">
        <v>0</v>
      </c>
      <c r="AJ70">
        <v>1</v>
      </c>
      <c r="AK70" t="str">
        <f>VLOOKUP(AJ70, Lookups!$B$23:$C$28, 2, FALSE)</f>
        <v>Daylight</v>
      </c>
      <c r="AL70">
        <v>1</v>
      </c>
      <c r="AM70" t="str">
        <f>VLOOKUP(AL70, Lookups!$B$30:$C$39, 2, FALSE)</f>
        <v>Fine / Clear</v>
      </c>
      <c r="AN70">
        <v>1</v>
      </c>
      <c r="AO70" t="str">
        <f>VLOOKUP(AN70, Lookups!$B$41:$C$49, 2, FALSE)</f>
        <v>Dry</v>
      </c>
      <c r="AP70">
        <v>-1</v>
      </c>
      <c r="AQ70">
        <v>-1</v>
      </c>
      <c r="AR70">
        <v>0</v>
      </c>
      <c r="AS70">
        <v>1</v>
      </c>
      <c r="AT70">
        <v>1</v>
      </c>
      <c r="AU70">
        <v>2</v>
      </c>
      <c r="AV70" t="s">
        <v>110</v>
      </c>
      <c r="AW70">
        <v>3</v>
      </c>
      <c r="AX70">
        <v>1</v>
      </c>
      <c r="AY70">
        <v>0</v>
      </c>
      <c r="AZ70">
        <v>1</v>
      </c>
    </row>
    <row r="71" spans="1:52" x14ac:dyDescent="0.35">
      <c r="A71">
        <v>2025221590494</v>
      </c>
      <c r="B71">
        <v>2025</v>
      </c>
      <c r="C71">
        <v>221590494</v>
      </c>
      <c r="D71">
        <v>386862</v>
      </c>
      <c r="E71">
        <v>249852</v>
      </c>
      <c r="F71">
        <v>-2.1934100000000001</v>
      </c>
      <c r="G71">
        <v>52.146799999999999</v>
      </c>
      <c r="H71">
        <v>22</v>
      </c>
      <c r="I71">
        <v>3</v>
      </c>
      <c r="J71" t="str">
        <f>VLOOKUP(I71, Lookups!$B$1:$C$4, 2, FALSE)</f>
        <v>Slight</v>
      </c>
      <c r="K71">
        <v>3</v>
      </c>
      <c r="L71">
        <v>2</v>
      </c>
      <c r="M71" s="1">
        <v>45792</v>
      </c>
      <c r="N71">
        <v>5</v>
      </c>
      <c r="O71" t="str">
        <f>VLOOKUP(N71, Lookups!$B$6:$C$12, 2, FALSE)</f>
        <v>Thursday</v>
      </c>
      <c r="P71" s="2">
        <v>0.57361111111111107</v>
      </c>
      <c r="Q71">
        <v>-1</v>
      </c>
      <c r="R71" t="s">
        <v>49</v>
      </c>
      <c r="S71" t="s">
        <v>45</v>
      </c>
      <c r="T71" t="s">
        <v>45</v>
      </c>
      <c r="U71">
        <v>1</v>
      </c>
      <c r="V71" t="str">
        <f>VLOOKUP(U71, Lookups!$B$51:$C$57, 2, FALSE)</f>
        <v>M</v>
      </c>
      <c r="W71">
        <v>5</v>
      </c>
      <c r="X71" t="str">
        <f t="shared" ref="X71:X72" si="11">V71&amp;W71</f>
        <v>M5</v>
      </c>
      <c r="Y71">
        <v>3</v>
      </c>
      <c r="Z71" t="str">
        <f>VLOOKUP(Y71, Lookups!$B$14:$C$21, 2, FALSE)</f>
        <v>Dual carriageway</v>
      </c>
      <c r="AA71">
        <v>70</v>
      </c>
      <c r="AB71">
        <v>-1</v>
      </c>
      <c r="AC71">
        <v>0</v>
      </c>
      <c r="AD71">
        <v>-1</v>
      </c>
      <c r="AE71">
        <v>0</v>
      </c>
      <c r="AF71">
        <v>-1</v>
      </c>
      <c r="AG71">
        <v>-1</v>
      </c>
      <c r="AH71">
        <v>-1</v>
      </c>
      <c r="AI71">
        <v>0</v>
      </c>
      <c r="AJ71">
        <v>1</v>
      </c>
      <c r="AK71" t="str">
        <f>VLOOKUP(AJ71, Lookups!$B$23:$C$28, 2, FALSE)</f>
        <v>Daylight</v>
      </c>
      <c r="AL71">
        <v>1</v>
      </c>
      <c r="AM71" t="str">
        <f>VLOOKUP(AL71, Lookups!$B$30:$C$39, 2, FALSE)</f>
        <v>Fine / Clear</v>
      </c>
      <c r="AN71">
        <v>1</v>
      </c>
      <c r="AO71" t="str">
        <f>VLOOKUP(AN71, Lookups!$B$41:$C$49, 2, FALSE)</f>
        <v>Dry</v>
      </c>
      <c r="AP71">
        <v>-1</v>
      </c>
      <c r="AQ71">
        <v>-1</v>
      </c>
      <c r="AR71">
        <v>0</v>
      </c>
      <c r="AS71">
        <v>2</v>
      </c>
      <c r="AT71">
        <v>1</v>
      </c>
      <c r="AU71">
        <v>1</v>
      </c>
      <c r="AV71" t="s">
        <v>50</v>
      </c>
      <c r="AW71">
        <v>3</v>
      </c>
      <c r="AX71">
        <v>1</v>
      </c>
      <c r="AY71">
        <v>0</v>
      </c>
      <c r="AZ71">
        <v>1</v>
      </c>
    </row>
    <row r="72" spans="1:52" x14ac:dyDescent="0.35">
      <c r="A72">
        <v>2025221604188</v>
      </c>
      <c r="B72">
        <v>2025</v>
      </c>
      <c r="C72">
        <v>221604188</v>
      </c>
      <c r="D72">
        <v>400124</v>
      </c>
      <c r="E72">
        <v>268951</v>
      </c>
      <c r="F72">
        <v>-1.9996</v>
      </c>
      <c r="G72">
        <v>52.318660000000001</v>
      </c>
      <c r="H72">
        <v>22</v>
      </c>
      <c r="I72">
        <v>3</v>
      </c>
      <c r="J72" t="str">
        <f>VLOOKUP(I72, Lookups!$B$1:$C$4, 2, FALSE)</f>
        <v>Slight</v>
      </c>
      <c r="K72">
        <v>2</v>
      </c>
      <c r="L72">
        <v>1</v>
      </c>
      <c r="M72" s="1">
        <v>45798</v>
      </c>
      <c r="N72">
        <v>4</v>
      </c>
      <c r="O72" t="str">
        <f>VLOOKUP(N72, Lookups!$B$6:$C$12, 2, FALSE)</f>
        <v>Wednesday</v>
      </c>
      <c r="P72" s="2">
        <v>0.59375</v>
      </c>
      <c r="Q72">
        <v>-1</v>
      </c>
      <c r="R72" t="s">
        <v>47</v>
      </c>
      <c r="S72" t="s">
        <v>45</v>
      </c>
      <c r="T72" t="s">
        <v>45</v>
      </c>
      <c r="U72">
        <v>4</v>
      </c>
      <c r="V72" t="str">
        <f>VLOOKUP(U72, Lookups!$B$51:$C$57, 2, FALSE)</f>
        <v>B</v>
      </c>
      <c r="W72">
        <v>4096</v>
      </c>
      <c r="X72" t="str">
        <f t="shared" si="11"/>
        <v>B4096</v>
      </c>
      <c r="Y72">
        <v>6</v>
      </c>
      <c r="Z72" t="str">
        <f>VLOOKUP(Y72, Lookups!$B$14:$C$21, 2, FALSE)</f>
        <v>Single carriageway</v>
      </c>
      <c r="AA72">
        <v>40</v>
      </c>
      <c r="AB72">
        <v>-1</v>
      </c>
      <c r="AC72">
        <v>13</v>
      </c>
      <c r="AD72">
        <v>4</v>
      </c>
      <c r="AE72">
        <v>4</v>
      </c>
      <c r="AF72">
        <v>4184</v>
      </c>
      <c r="AG72">
        <v>-1</v>
      </c>
      <c r="AH72">
        <v>-1</v>
      </c>
      <c r="AI72">
        <v>0</v>
      </c>
      <c r="AJ72">
        <v>1</v>
      </c>
      <c r="AK72" t="str">
        <f>VLOOKUP(AJ72, Lookups!$B$23:$C$28, 2, FALSE)</f>
        <v>Daylight</v>
      </c>
      <c r="AL72">
        <v>1</v>
      </c>
      <c r="AM72" t="str">
        <f>VLOOKUP(AL72, Lookups!$B$30:$C$39, 2, FALSE)</f>
        <v>Fine / Clear</v>
      </c>
      <c r="AN72">
        <v>1</v>
      </c>
      <c r="AO72" t="str">
        <f>VLOOKUP(AN72, Lookups!$B$41:$C$49, 2, FALSE)</f>
        <v>Dry</v>
      </c>
      <c r="AP72">
        <v>-1</v>
      </c>
      <c r="AQ72">
        <v>-1</v>
      </c>
      <c r="AR72">
        <v>0</v>
      </c>
      <c r="AS72">
        <v>2</v>
      </c>
      <c r="AT72">
        <v>1</v>
      </c>
      <c r="AU72">
        <v>2</v>
      </c>
      <c r="AV72" t="s">
        <v>111</v>
      </c>
      <c r="AW72">
        <v>3</v>
      </c>
      <c r="AX72">
        <v>1</v>
      </c>
      <c r="AY72">
        <v>0</v>
      </c>
      <c r="AZ72">
        <v>1</v>
      </c>
    </row>
    <row r="73" spans="1:52" x14ac:dyDescent="0.35">
      <c r="A73">
        <v>2025221631274</v>
      </c>
      <c r="B73">
        <v>2025</v>
      </c>
      <c r="C73">
        <v>221631274</v>
      </c>
      <c r="D73">
        <v>383716</v>
      </c>
      <c r="E73">
        <v>240331</v>
      </c>
      <c r="F73">
        <v>-2.2389299999999999</v>
      </c>
      <c r="G73">
        <v>52.061109999999999</v>
      </c>
      <c r="H73">
        <v>22</v>
      </c>
      <c r="I73">
        <v>3</v>
      </c>
      <c r="J73" t="str">
        <f>VLOOKUP(I73, Lookups!$B$1:$C$4, 2, FALSE)</f>
        <v>Slight</v>
      </c>
      <c r="K73">
        <v>2</v>
      </c>
      <c r="L73">
        <v>3</v>
      </c>
      <c r="M73" s="1">
        <v>45889</v>
      </c>
      <c r="N73">
        <v>4</v>
      </c>
      <c r="O73" t="str">
        <f>VLOOKUP(N73, Lookups!$B$6:$C$12, 2, FALSE)</f>
        <v>Wednesday</v>
      </c>
      <c r="P73" s="2">
        <v>0.54791666666666672</v>
      </c>
      <c r="Q73">
        <v>-1</v>
      </c>
      <c r="R73" t="s">
        <v>49</v>
      </c>
      <c r="S73" t="s">
        <v>45</v>
      </c>
      <c r="T73" t="s">
        <v>45</v>
      </c>
      <c r="U73">
        <v>6</v>
      </c>
      <c r="V73" t="str">
        <f>VLOOKUP(U73, Lookups!$B$51:$C$57, 2, FALSE)</f>
        <v>Unclassified</v>
      </c>
      <c r="W73">
        <v>0</v>
      </c>
      <c r="X73" t="s">
        <v>362</v>
      </c>
      <c r="Y73">
        <v>6</v>
      </c>
      <c r="Z73" t="str">
        <f>VLOOKUP(Y73, Lookups!$B$14:$C$21, 2, FALSE)</f>
        <v>Single carriageway</v>
      </c>
      <c r="AA73">
        <v>60</v>
      </c>
      <c r="AB73">
        <v>-1</v>
      </c>
      <c r="AC73">
        <v>0</v>
      </c>
      <c r="AD73">
        <v>-1</v>
      </c>
      <c r="AE73">
        <v>6</v>
      </c>
      <c r="AF73">
        <v>0</v>
      </c>
      <c r="AG73">
        <v>-1</v>
      </c>
      <c r="AH73">
        <v>-1</v>
      </c>
      <c r="AI73">
        <v>0</v>
      </c>
      <c r="AJ73">
        <v>1</v>
      </c>
      <c r="AK73" t="str">
        <f>VLOOKUP(AJ73, Lookups!$B$23:$C$28, 2, FALSE)</f>
        <v>Daylight</v>
      </c>
      <c r="AL73">
        <v>1</v>
      </c>
      <c r="AM73" t="str">
        <f>VLOOKUP(AL73, Lookups!$B$30:$C$39, 2, FALSE)</f>
        <v>Fine / Clear</v>
      </c>
      <c r="AN73">
        <v>1</v>
      </c>
      <c r="AO73" t="str">
        <f>VLOOKUP(AN73, Lookups!$B$41:$C$49, 2, FALSE)</f>
        <v>Dry</v>
      </c>
      <c r="AP73">
        <v>-1</v>
      </c>
      <c r="AQ73">
        <v>-1</v>
      </c>
      <c r="AR73">
        <v>0</v>
      </c>
      <c r="AS73">
        <v>2</v>
      </c>
      <c r="AT73">
        <v>1</v>
      </c>
      <c r="AU73">
        <v>2</v>
      </c>
      <c r="AV73" t="s">
        <v>112</v>
      </c>
      <c r="AW73">
        <v>3</v>
      </c>
      <c r="AX73">
        <v>1</v>
      </c>
      <c r="AY73">
        <v>0</v>
      </c>
      <c r="AZ73">
        <v>1</v>
      </c>
    </row>
    <row r="74" spans="1:52" x14ac:dyDescent="0.35">
      <c r="A74">
        <v>2025221631957</v>
      </c>
      <c r="B74">
        <v>2025</v>
      </c>
      <c r="C74">
        <v>221631957</v>
      </c>
      <c r="D74">
        <v>396255</v>
      </c>
      <c r="E74">
        <v>271152</v>
      </c>
      <c r="F74">
        <v>-2.0563899999999999</v>
      </c>
      <c r="G74">
        <v>52.338439999999999</v>
      </c>
      <c r="H74">
        <v>22</v>
      </c>
      <c r="I74">
        <v>3</v>
      </c>
      <c r="J74" t="str">
        <f>VLOOKUP(I74, Lookups!$B$1:$C$4, 2, FALSE)</f>
        <v>Slight</v>
      </c>
      <c r="K74">
        <v>2</v>
      </c>
      <c r="L74">
        <v>1</v>
      </c>
      <c r="M74" s="1">
        <v>45890</v>
      </c>
      <c r="N74">
        <v>5</v>
      </c>
      <c r="O74" t="str">
        <f>VLOOKUP(N74, Lookups!$B$6:$C$12, 2, FALSE)</f>
        <v>Thursday</v>
      </c>
      <c r="P74" s="2">
        <v>0.60763888888888884</v>
      </c>
      <c r="Q74">
        <v>-1</v>
      </c>
      <c r="R74" t="s">
        <v>47</v>
      </c>
      <c r="S74" t="s">
        <v>45</v>
      </c>
      <c r="T74" t="s">
        <v>45</v>
      </c>
      <c r="U74">
        <v>6</v>
      </c>
      <c r="V74" t="str">
        <f>VLOOKUP(U74, Lookups!$B$51:$C$57, 2, FALSE)</f>
        <v>Unclassified</v>
      </c>
      <c r="W74">
        <v>0</v>
      </c>
      <c r="X74" t="s">
        <v>362</v>
      </c>
      <c r="Y74">
        <v>6</v>
      </c>
      <c r="Z74" t="str">
        <f>VLOOKUP(Y74, Lookups!$B$14:$C$21, 2, FALSE)</f>
        <v>Single carriageway</v>
      </c>
      <c r="AA74">
        <v>30</v>
      </c>
      <c r="AB74">
        <v>-1</v>
      </c>
      <c r="AC74">
        <v>19</v>
      </c>
      <c r="AD74">
        <v>4</v>
      </c>
      <c r="AE74">
        <v>6</v>
      </c>
      <c r="AF74">
        <v>0</v>
      </c>
      <c r="AG74">
        <v>-1</v>
      </c>
      <c r="AH74">
        <v>-1</v>
      </c>
      <c r="AI74">
        <v>0</v>
      </c>
      <c r="AJ74">
        <v>1</v>
      </c>
      <c r="AK74" t="str">
        <f>VLOOKUP(AJ74, Lookups!$B$23:$C$28, 2, FALSE)</f>
        <v>Daylight</v>
      </c>
      <c r="AL74">
        <v>1</v>
      </c>
      <c r="AM74" t="str">
        <f>VLOOKUP(AL74, Lookups!$B$30:$C$39, 2, FALSE)</f>
        <v>Fine / Clear</v>
      </c>
      <c r="AN74">
        <v>1</v>
      </c>
      <c r="AO74" t="str">
        <f>VLOOKUP(AN74, Lookups!$B$41:$C$49, 2, FALSE)</f>
        <v>Dry</v>
      </c>
      <c r="AP74">
        <v>-1</v>
      </c>
      <c r="AQ74">
        <v>-1</v>
      </c>
      <c r="AR74">
        <v>0</v>
      </c>
      <c r="AS74">
        <v>1</v>
      </c>
      <c r="AT74">
        <v>1</v>
      </c>
      <c r="AU74">
        <v>2</v>
      </c>
      <c r="AV74" t="s">
        <v>113</v>
      </c>
      <c r="AW74">
        <v>3</v>
      </c>
      <c r="AX74">
        <v>1</v>
      </c>
      <c r="AY74">
        <v>0</v>
      </c>
      <c r="AZ74">
        <v>1</v>
      </c>
    </row>
    <row r="75" spans="1:52" x14ac:dyDescent="0.35">
      <c r="A75">
        <v>2025221634282</v>
      </c>
      <c r="B75">
        <v>2025</v>
      </c>
      <c r="C75">
        <v>221634282</v>
      </c>
      <c r="D75">
        <v>403996</v>
      </c>
      <c r="E75">
        <v>275401</v>
      </c>
      <c r="F75">
        <v>-1.94272</v>
      </c>
      <c r="G75">
        <v>52.376629999999999</v>
      </c>
      <c r="H75">
        <v>22</v>
      </c>
      <c r="I75">
        <v>2</v>
      </c>
      <c r="J75" t="str">
        <f>VLOOKUP(I75, Lookups!$B$1:$C$4, 2, FALSE)</f>
        <v>Serious</v>
      </c>
      <c r="K75">
        <v>2</v>
      </c>
      <c r="L75">
        <v>1</v>
      </c>
      <c r="M75" s="1">
        <v>45893</v>
      </c>
      <c r="N75">
        <v>1</v>
      </c>
      <c r="O75" t="str">
        <f>VLOOKUP(N75, Lookups!$B$6:$C$12, 2, FALSE)</f>
        <v>Sunday</v>
      </c>
      <c r="P75" s="2">
        <v>0.44374999999999998</v>
      </c>
      <c r="Q75">
        <v>-1</v>
      </c>
      <c r="R75" t="s">
        <v>47</v>
      </c>
      <c r="S75" t="s">
        <v>45</v>
      </c>
      <c r="T75" t="s">
        <v>45</v>
      </c>
      <c r="U75">
        <v>6</v>
      </c>
      <c r="V75" t="str">
        <f>VLOOKUP(U75, Lookups!$B$51:$C$57, 2, FALSE)</f>
        <v>Unclassified</v>
      </c>
      <c r="W75">
        <v>0</v>
      </c>
      <c r="X75" t="s">
        <v>362</v>
      </c>
      <c r="Y75">
        <v>6</v>
      </c>
      <c r="Z75" t="str">
        <f>VLOOKUP(Y75, Lookups!$B$14:$C$21, 2, FALSE)</f>
        <v>Single carriageway</v>
      </c>
      <c r="AA75">
        <v>60</v>
      </c>
      <c r="AB75">
        <v>-1</v>
      </c>
      <c r="AC75">
        <v>0</v>
      </c>
      <c r="AD75">
        <v>-1</v>
      </c>
      <c r="AE75">
        <v>0</v>
      </c>
      <c r="AF75">
        <v>-1</v>
      </c>
      <c r="AG75">
        <v>-1</v>
      </c>
      <c r="AH75">
        <v>-1</v>
      </c>
      <c r="AI75">
        <v>0</v>
      </c>
      <c r="AJ75">
        <v>1</v>
      </c>
      <c r="AK75" t="str">
        <f>VLOOKUP(AJ75, Lookups!$B$23:$C$28, 2, FALSE)</f>
        <v>Daylight</v>
      </c>
      <c r="AL75">
        <v>1</v>
      </c>
      <c r="AM75" t="str">
        <f>VLOOKUP(AL75, Lookups!$B$30:$C$39, 2, FALSE)</f>
        <v>Fine / Clear</v>
      </c>
      <c r="AN75">
        <v>1</v>
      </c>
      <c r="AO75" t="str">
        <f>VLOOKUP(AN75, Lookups!$B$41:$C$49, 2, FALSE)</f>
        <v>Dry</v>
      </c>
      <c r="AP75">
        <v>-1</v>
      </c>
      <c r="AQ75">
        <v>-1</v>
      </c>
      <c r="AR75">
        <v>0</v>
      </c>
      <c r="AS75">
        <v>2</v>
      </c>
      <c r="AT75">
        <v>1</v>
      </c>
      <c r="AU75">
        <v>2</v>
      </c>
      <c r="AV75" t="s">
        <v>77</v>
      </c>
      <c r="AW75">
        <v>7</v>
      </c>
      <c r="AX75">
        <v>1</v>
      </c>
      <c r="AY75">
        <v>1</v>
      </c>
      <c r="AZ75">
        <v>0</v>
      </c>
    </row>
    <row r="76" spans="1:52" x14ac:dyDescent="0.35">
      <c r="A76">
        <v>2025221561546</v>
      </c>
      <c r="B76">
        <v>2025</v>
      </c>
      <c r="C76">
        <v>221561546</v>
      </c>
      <c r="D76">
        <v>384586</v>
      </c>
      <c r="E76">
        <v>275820</v>
      </c>
      <c r="F76">
        <v>-2.2278699999999998</v>
      </c>
      <c r="G76">
        <v>52.380200000000002</v>
      </c>
      <c r="H76">
        <v>22</v>
      </c>
      <c r="I76">
        <v>3</v>
      </c>
      <c r="J76" t="str">
        <f>VLOOKUP(I76, Lookups!$B$1:$C$4, 2, FALSE)</f>
        <v>Slight</v>
      </c>
      <c r="K76">
        <v>2</v>
      </c>
      <c r="L76">
        <v>1</v>
      </c>
      <c r="M76" s="1">
        <v>45719</v>
      </c>
      <c r="N76">
        <v>2</v>
      </c>
      <c r="O76" t="str">
        <f>VLOOKUP(N76, Lookups!$B$6:$C$12, 2, FALSE)</f>
        <v>Monday</v>
      </c>
      <c r="P76" s="2">
        <v>0.51736111111111116</v>
      </c>
      <c r="Q76">
        <v>-1</v>
      </c>
      <c r="R76" t="s">
        <v>44</v>
      </c>
      <c r="S76" t="s">
        <v>45</v>
      </c>
      <c r="T76" t="s">
        <v>45</v>
      </c>
      <c r="U76">
        <v>3</v>
      </c>
      <c r="V76" t="str">
        <f>VLOOKUP(U76, Lookups!$B$51:$C$57, 2, FALSE)</f>
        <v>A</v>
      </c>
      <c r="W76">
        <v>448</v>
      </c>
      <c r="X76" t="str">
        <f>V76&amp;W76</f>
        <v>A448</v>
      </c>
      <c r="Y76">
        <v>6</v>
      </c>
      <c r="Z76" t="str">
        <f>VLOOKUP(Y76, Lookups!$B$14:$C$21, 2, FALSE)</f>
        <v>Single carriageway</v>
      </c>
      <c r="AA76">
        <v>30</v>
      </c>
      <c r="AB76">
        <v>-1</v>
      </c>
      <c r="AC76">
        <v>13</v>
      </c>
      <c r="AD76">
        <v>4</v>
      </c>
      <c r="AE76">
        <v>6</v>
      </c>
      <c r="AF76">
        <v>0</v>
      </c>
      <c r="AG76">
        <v>-1</v>
      </c>
      <c r="AH76">
        <v>-1</v>
      </c>
      <c r="AI76">
        <v>0</v>
      </c>
      <c r="AJ76">
        <v>1</v>
      </c>
      <c r="AK76" t="str">
        <f>VLOOKUP(AJ76, Lookups!$B$23:$C$28, 2, FALSE)</f>
        <v>Daylight</v>
      </c>
      <c r="AL76">
        <v>1</v>
      </c>
      <c r="AM76" t="str">
        <f>VLOOKUP(AL76, Lookups!$B$30:$C$39, 2, FALSE)</f>
        <v>Fine / Clear</v>
      </c>
      <c r="AN76">
        <v>1</v>
      </c>
      <c r="AO76" t="str">
        <f>VLOOKUP(AN76, Lookups!$B$41:$C$49, 2, FALSE)</f>
        <v>Dry</v>
      </c>
      <c r="AP76">
        <v>-1</v>
      </c>
      <c r="AQ76">
        <v>-1</v>
      </c>
      <c r="AR76">
        <v>0</v>
      </c>
      <c r="AS76">
        <v>1</v>
      </c>
      <c r="AT76">
        <v>1</v>
      </c>
      <c r="AU76">
        <v>2</v>
      </c>
      <c r="AV76" t="s">
        <v>114</v>
      </c>
      <c r="AW76">
        <v>3</v>
      </c>
      <c r="AX76">
        <v>1</v>
      </c>
      <c r="AY76">
        <v>0</v>
      </c>
      <c r="AZ76">
        <v>1</v>
      </c>
    </row>
    <row r="77" spans="1:52" x14ac:dyDescent="0.35">
      <c r="A77">
        <v>2025221565157</v>
      </c>
      <c r="B77">
        <v>2025</v>
      </c>
      <c r="C77">
        <v>221565157</v>
      </c>
      <c r="D77">
        <v>381792</v>
      </c>
      <c r="E77">
        <v>271739</v>
      </c>
      <c r="F77">
        <v>-2.2686899999999999</v>
      </c>
      <c r="G77">
        <v>52.343420000000002</v>
      </c>
      <c r="H77">
        <v>22</v>
      </c>
      <c r="I77">
        <v>3</v>
      </c>
      <c r="J77" t="str">
        <f>VLOOKUP(I77, Lookups!$B$1:$C$4, 2, FALSE)</f>
        <v>Slight</v>
      </c>
      <c r="K77">
        <v>1</v>
      </c>
      <c r="L77">
        <v>1</v>
      </c>
      <c r="M77" s="1">
        <v>45730</v>
      </c>
      <c r="N77">
        <v>6</v>
      </c>
      <c r="O77" t="str">
        <f>VLOOKUP(N77, Lookups!$B$6:$C$12, 2, FALSE)</f>
        <v>Friday</v>
      </c>
      <c r="P77" s="2">
        <v>0.54791666666666672</v>
      </c>
      <c r="Q77">
        <v>-1</v>
      </c>
      <c r="R77" t="s">
        <v>44</v>
      </c>
      <c r="S77" t="s">
        <v>45</v>
      </c>
      <c r="T77" t="s">
        <v>45</v>
      </c>
      <c r="U77">
        <v>6</v>
      </c>
      <c r="V77" t="str">
        <f>VLOOKUP(U77, Lookups!$B$51:$C$57, 2, FALSE)</f>
        <v>Unclassified</v>
      </c>
      <c r="W77">
        <v>0</v>
      </c>
      <c r="X77" t="s">
        <v>362</v>
      </c>
      <c r="Y77">
        <v>6</v>
      </c>
      <c r="Z77" t="str">
        <f>VLOOKUP(Y77, Lookups!$B$14:$C$21, 2, FALSE)</f>
        <v>Single carriageway</v>
      </c>
      <c r="AA77">
        <v>30</v>
      </c>
      <c r="AB77">
        <v>-1</v>
      </c>
      <c r="AC77">
        <v>0</v>
      </c>
      <c r="AD77">
        <v>-1</v>
      </c>
      <c r="AE77">
        <v>6</v>
      </c>
      <c r="AF77">
        <v>0</v>
      </c>
      <c r="AG77">
        <v>-1</v>
      </c>
      <c r="AH77">
        <v>-1</v>
      </c>
      <c r="AI77">
        <v>0</v>
      </c>
      <c r="AJ77">
        <v>1</v>
      </c>
      <c r="AK77" t="str">
        <f>VLOOKUP(AJ77, Lookups!$B$23:$C$28, 2, FALSE)</f>
        <v>Daylight</v>
      </c>
      <c r="AL77">
        <v>1</v>
      </c>
      <c r="AM77" t="str">
        <f>VLOOKUP(AL77, Lookups!$B$30:$C$39, 2, FALSE)</f>
        <v>Fine / Clear</v>
      </c>
      <c r="AN77">
        <v>1</v>
      </c>
      <c r="AO77" t="str">
        <f>VLOOKUP(AN77, Lookups!$B$41:$C$49, 2, FALSE)</f>
        <v>Dry</v>
      </c>
      <c r="AP77">
        <v>-1</v>
      </c>
      <c r="AQ77">
        <v>-1</v>
      </c>
      <c r="AR77">
        <v>0</v>
      </c>
      <c r="AS77">
        <v>1</v>
      </c>
      <c r="AT77">
        <v>3</v>
      </c>
      <c r="AU77">
        <v>2</v>
      </c>
      <c r="AV77" t="s">
        <v>84</v>
      </c>
      <c r="AW77">
        <v>3</v>
      </c>
      <c r="AX77">
        <v>1</v>
      </c>
      <c r="AY77">
        <v>0</v>
      </c>
      <c r="AZ77">
        <v>1</v>
      </c>
    </row>
    <row r="78" spans="1:52" x14ac:dyDescent="0.35">
      <c r="A78">
        <v>2025221638580</v>
      </c>
      <c r="B78">
        <v>2025</v>
      </c>
      <c r="C78">
        <v>221638580</v>
      </c>
      <c r="D78">
        <v>383244</v>
      </c>
      <c r="E78">
        <v>254049</v>
      </c>
      <c r="F78">
        <v>-2.2465000000000002</v>
      </c>
      <c r="G78">
        <v>52.184429999999999</v>
      </c>
      <c r="H78">
        <v>22</v>
      </c>
      <c r="I78">
        <v>3</v>
      </c>
      <c r="J78" t="str">
        <f>VLOOKUP(I78, Lookups!$B$1:$C$4, 2, FALSE)</f>
        <v>Slight</v>
      </c>
      <c r="K78">
        <v>2</v>
      </c>
      <c r="L78">
        <v>1</v>
      </c>
      <c r="M78" s="1">
        <v>45907</v>
      </c>
      <c r="N78">
        <v>1</v>
      </c>
      <c r="O78" t="str">
        <f>VLOOKUP(N78, Lookups!$B$6:$C$12, 2, FALSE)</f>
        <v>Sunday</v>
      </c>
      <c r="P78" s="2">
        <v>0.95833333333333337</v>
      </c>
      <c r="Q78">
        <v>-1</v>
      </c>
      <c r="R78" t="s">
        <v>60</v>
      </c>
      <c r="S78" t="s">
        <v>45</v>
      </c>
      <c r="T78" t="s">
        <v>45</v>
      </c>
      <c r="U78">
        <v>4</v>
      </c>
      <c r="V78" t="str">
        <f>VLOOKUP(U78, Lookups!$B$51:$C$57, 2, FALSE)</f>
        <v>B</v>
      </c>
      <c r="W78">
        <v>4485</v>
      </c>
      <c r="X78" t="str">
        <f>V78&amp;W78</f>
        <v>B4485</v>
      </c>
      <c r="Y78">
        <v>6</v>
      </c>
      <c r="Z78" t="str">
        <f>VLOOKUP(Y78, Lookups!$B$14:$C$21, 2, FALSE)</f>
        <v>Single carriageway</v>
      </c>
      <c r="AA78">
        <v>30</v>
      </c>
      <c r="AB78">
        <v>-1</v>
      </c>
      <c r="AC78">
        <v>0</v>
      </c>
      <c r="AD78">
        <v>-1</v>
      </c>
      <c r="AE78">
        <v>6</v>
      </c>
      <c r="AF78">
        <v>0</v>
      </c>
      <c r="AG78">
        <v>-1</v>
      </c>
      <c r="AH78">
        <v>-1</v>
      </c>
      <c r="AI78">
        <v>0</v>
      </c>
      <c r="AJ78">
        <v>4</v>
      </c>
      <c r="AK78" t="str">
        <f>VLOOKUP(AJ78, Lookups!$B$23:$C$28, 2, FALSE)</f>
        <v>Darkness (Lit)</v>
      </c>
      <c r="AL78">
        <v>1</v>
      </c>
      <c r="AM78" t="str">
        <f>VLOOKUP(AL78, Lookups!$B$30:$C$39, 2, FALSE)</f>
        <v>Fine / Clear</v>
      </c>
      <c r="AN78">
        <v>1</v>
      </c>
      <c r="AO78" t="str">
        <f>VLOOKUP(AN78, Lookups!$B$41:$C$49, 2, FALSE)</f>
        <v>Dry</v>
      </c>
      <c r="AP78">
        <v>-1</v>
      </c>
      <c r="AQ78">
        <v>-1</v>
      </c>
      <c r="AR78">
        <v>0</v>
      </c>
      <c r="AS78">
        <v>2</v>
      </c>
      <c r="AT78">
        <v>1</v>
      </c>
      <c r="AU78">
        <v>2</v>
      </c>
      <c r="AV78" t="s">
        <v>115</v>
      </c>
      <c r="AW78">
        <v>3</v>
      </c>
      <c r="AX78">
        <v>1</v>
      </c>
      <c r="AY78">
        <v>0</v>
      </c>
      <c r="AZ78">
        <v>1</v>
      </c>
    </row>
    <row r="79" spans="1:52" x14ac:dyDescent="0.35">
      <c r="A79">
        <v>2025221663492</v>
      </c>
      <c r="B79">
        <v>2025</v>
      </c>
      <c r="C79">
        <v>221663492</v>
      </c>
      <c r="D79">
        <v>394748</v>
      </c>
      <c r="E79">
        <v>270635</v>
      </c>
      <c r="F79">
        <v>-2.0785</v>
      </c>
      <c r="G79">
        <v>52.333779999999997</v>
      </c>
      <c r="H79">
        <v>22</v>
      </c>
      <c r="I79">
        <v>3</v>
      </c>
      <c r="J79" t="str">
        <f>VLOOKUP(I79, Lookups!$B$1:$C$4, 2, FALSE)</f>
        <v>Slight</v>
      </c>
      <c r="K79">
        <v>2</v>
      </c>
      <c r="L79">
        <v>1</v>
      </c>
      <c r="M79" s="1">
        <v>45965</v>
      </c>
      <c r="N79">
        <v>3</v>
      </c>
      <c r="O79" t="str">
        <f>VLOOKUP(N79, Lookups!$B$6:$C$12, 2, FALSE)</f>
        <v>Tuesday</v>
      </c>
      <c r="P79" s="2">
        <v>0.375</v>
      </c>
      <c r="Q79">
        <v>-1</v>
      </c>
      <c r="R79" t="s">
        <v>47</v>
      </c>
      <c r="S79" t="s">
        <v>45</v>
      </c>
      <c r="T79" t="s">
        <v>45</v>
      </c>
      <c r="U79">
        <v>6</v>
      </c>
      <c r="V79" t="str">
        <f>VLOOKUP(U79, Lookups!$B$51:$C$57, 2, FALSE)</f>
        <v>Unclassified</v>
      </c>
      <c r="W79">
        <v>0</v>
      </c>
      <c r="X79" t="s">
        <v>362</v>
      </c>
      <c r="Y79">
        <v>6</v>
      </c>
      <c r="Z79" t="str">
        <f>VLOOKUP(Y79, Lookups!$B$14:$C$21, 2, FALSE)</f>
        <v>Single carriageway</v>
      </c>
      <c r="AA79">
        <v>30</v>
      </c>
      <c r="AB79">
        <v>-1</v>
      </c>
      <c r="AC79">
        <v>13</v>
      </c>
      <c r="AD79">
        <v>4</v>
      </c>
      <c r="AE79">
        <v>6</v>
      </c>
      <c r="AF79">
        <v>0</v>
      </c>
      <c r="AG79">
        <v>-1</v>
      </c>
      <c r="AH79">
        <v>-1</v>
      </c>
      <c r="AI79">
        <v>0</v>
      </c>
      <c r="AJ79">
        <v>1</v>
      </c>
      <c r="AK79" t="str">
        <f>VLOOKUP(AJ79, Lookups!$B$23:$C$28, 2, FALSE)</f>
        <v>Daylight</v>
      </c>
      <c r="AL79">
        <v>1</v>
      </c>
      <c r="AM79" t="str">
        <f>VLOOKUP(AL79, Lookups!$B$30:$C$39, 2, FALSE)</f>
        <v>Fine / Clear</v>
      </c>
      <c r="AN79">
        <v>2</v>
      </c>
      <c r="AO79" t="str">
        <f>VLOOKUP(AN79, Lookups!$B$41:$C$49, 2, FALSE)</f>
        <v>Wet / damp</v>
      </c>
      <c r="AP79">
        <v>-1</v>
      </c>
      <c r="AQ79">
        <v>-1</v>
      </c>
      <c r="AR79">
        <v>-1</v>
      </c>
      <c r="AS79">
        <v>2</v>
      </c>
      <c r="AT79">
        <v>3</v>
      </c>
      <c r="AU79">
        <v>2</v>
      </c>
      <c r="AV79" t="s">
        <v>116</v>
      </c>
      <c r="AW79">
        <v>3</v>
      </c>
      <c r="AX79">
        <v>1</v>
      </c>
      <c r="AY79">
        <v>0</v>
      </c>
      <c r="AZ79">
        <v>1</v>
      </c>
    </row>
    <row r="80" spans="1:52" x14ac:dyDescent="0.35">
      <c r="A80">
        <v>2025221567248</v>
      </c>
      <c r="B80">
        <v>2025</v>
      </c>
      <c r="C80">
        <v>221567248</v>
      </c>
      <c r="D80">
        <v>381272</v>
      </c>
      <c r="E80">
        <v>271535</v>
      </c>
      <c r="F80">
        <v>-2.2763100000000001</v>
      </c>
      <c r="G80">
        <v>52.341569999999997</v>
      </c>
      <c r="H80">
        <v>22</v>
      </c>
      <c r="I80">
        <v>3</v>
      </c>
      <c r="J80" t="str">
        <f>VLOOKUP(I80, Lookups!$B$1:$C$4, 2, FALSE)</f>
        <v>Slight</v>
      </c>
      <c r="K80">
        <v>2</v>
      </c>
      <c r="L80">
        <v>1</v>
      </c>
      <c r="M80" s="1">
        <v>45715</v>
      </c>
      <c r="N80">
        <v>5</v>
      </c>
      <c r="O80" t="str">
        <f>VLOOKUP(N80, Lookups!$B$6:$C$12, 2, FALSE)</f>
        <v>Thursday</v>
      </c>
      <c r="P80" s="2">
        <v>0.93055555555555558</v>
      </c>
      <c r="Q80">
        <v>-1</v>
      </c>
      <c r="R80" t="s">
        <v>44</v>
      </c>
      <c r="S80" t="s">
        <v>45</v>
      </c>
      <c r="T80" t="s">
        <v>45</v>
      </c>
      <c r="U80">
        <v>3</v>
      </c>
      <c r="V80" t="str">
        <f>VLOOKUP(U80, Lookups!$B$51:$C$57, 2, FALSE)</f>
        <v>A</v>
      </c>
      <c r="W80">
        <v>451</v>
      </c>
      <c r="X80" t="str">
        <f>V80&amp;W80</f>
        <v>A451</v>
      </c>
      <c r="Y80">
        <v>6</v>
      </c>
      <c r="Z80" t="str">
        <f>VLOOKUP(Y80, Lookups!$B$14:$C$21, 2, FALSE)</f>
        <v>Single carriageway</v>
      </c>
      <c r="AA80">
        <v>30</v>
      </c>
      <c r="AB80">
        <v>-1</v>
      </c>
      <c r="AC80">
        <v>0</v>
      </c>
      <c r="AD80">
        <v>-1</v>
      </c>
      <c r="AE80">
        <v>6</v>
      </c>
      <c r="AF80">
        <v>0</v>
      </c>
      <c r="AG80">
        <v>-1</v>
      </c>
      <c r="AH80">
        <v>-1</v>
      </c>
      <c r="AI80">
        <v>0</v>
      </c>
      <c r="AJ80">
        <v>4</v>
      </c>
      <c r="AK80" t="str">
        <f>VLOOKUP(AJ80, Lookups!$B$23:$C$28, 2, FALSE)</f>
        <v>Darkness (Lit)</v>
      </c>
      <c r="AL80">
        <v>1</v>
      </c>
      <c r="AM80" t="str">
        <f>VLOOKUP(AL80, Lookups!$B$30:$C$39, 2, FALSE)</f>
        <v>Fine / Clear</v>
      </c>
      <c r="AN80">
        <v>1</v>
      </c>
      <c r="AO80" t="str">
        <f>VLOOKUP(AN80, Lookups!$B$41:$C$49, 2, FALSE)</f>
        <v>Dry</v>
      </c>
      <c r="AP80">
        <v>-1</v>
      </c>
      <c r="AQ80">
        <v>-1</v>
      </c>
      <c r="AR80">
        <v>0</v>
      </c>
      <c r="AS80">
        <v>1</v>
      </c>
      <c r="AT80">
        <v>1</v>
      </c>
      <c r="AU80">
        <v>2</v>
      </c>
      <c r="AV80" t="s">
        <v>117</v>
      </c>
      <c r="AW80">
        <v>3</v>
      </c>
      <c r="AX80">
        <v>1</v>
      </c>
      <c r="AY80">
        <v>0</v>
      </c>
      <c r="AZ80">
        <v>1</v>
      </c>
    </row>
    <row r="81" spans="1:52" x14ac:dyDescent="0.35">
      <c r="A81">
        <v>2025221583719</v>
      </c>
      <c r="B81">
        <v>2025</v>
      </c>
      <c r="C81">
        <v>221583719</v>
      </c>
      <c r="D81">
        <v>406513</v>
      </c>
      <c r="E81">
        <v>268693</v>
      </c>
      <c r="F81">
        <v>-1.90588</v>
      </c>
      <c r="G81">
        <v>52.316310000000001</v>
      </c>
      <c r="H81">
        <v>22</v>
      </c>
      <c r="I81">
        <v>3</v>
      </c>
      <c r="J81" t="str">
        <f>VLOOKUP(I81, Lookups!$B$1:$C$4, 2, FALSE)</f>
        <v>Slight</v>
      </c>
      <c r="K81">
        <v>2</v>
      </c>
      <c r="L81">
        <v>1</v>
      </c>
      <c r="M81" s="1">
        <v>45771</v>
      </c>
      <c r="N81">
        <v>5</v>
      </c>
      <c r="O81" t="str">
        <f>VLOOKUP(N81, Lookups!$B$6:$C$12, 2, FALSE)</f>
        <v>Thursday</v>
      </c>
      <c r="P81" s="2">
        <v>0.71388888888888891</v>
      </c>
      <c r="Q81">
        <v>-1</v>
      </c>
      <c r="R81" t="s">
        <v>69</v>
      </c>
      <c r="S81" t="s">
        <v>45</v>
      </c>
      <c r="T81" t="s">
        <v>45</v>
      </c>
      <c r="U81">
        <v>6</v>
      </c>
      <c r="V81" t="str">
        <f>VLOOKUP(U81, Lookups!$B$51:$C$57, 2, FALSE)</f>
        <v>Unclassified</v>
      </c>
      <c r="W81">
        <v>0</v>
      </c>
      <c r="X81" t="s">
        <v>362</v>
      </c>
      <c r="Y81">
        <v>6</v>
      </c>
      <c r="Z81" t="str">
        <f>VLOOKUP(Y81, Lookups!$B$14:$C$21, 2, FALSE)</f>
        <v>Single carriageway</v>
      </c>
      <c r="AA81">
        <v>30</v>
      </c>
      <c r="AB81">
        <v>-1</v>
      </c>
      <c r="AC81">
        <v>16</v>
      </c>
      <c r="AD81">
        <v>4</v>
      </c>
      <c r="AE81">
        <v>6</v>
      </c>
      <c r="AF81">
        <v>0</v>
      </c>
      <c r="AG81">
        <v>-1</v>
      </c>
      <c r="AH81">
        <v>-1</v>
      </c>
      <c r="AI81">
        <v>13</v>
      </c>
      <c r="AJ81">
        <v>1</v>
      </c>
      <c r="AK81" t="str">
        <f>VLOOKUP(AJ81, Lookups!$B$23:$C$28, 2, FALSE)</f>
        <v>Daylight</v>
      </c>
      <c r="AL81">
        <v>1</v>
      </c>
      <c r="AM81" t="str">
        <f>VLOOKUP(AL81, Lookups!$B$30:$C$39, 2, FALSE)</f>
        <v>Fine / Clear</v>
      </c>
      <c r="AN81">
        <v>1</v>
      </c>
      <c r="AO81" t="str">
        <f>VLOOKUP(AN81, Lookups!$B$41:$C$49, 2, FALSE)</f>
        <v>Dry</v>
      </c>
      <c r="AP81">
        <v>-1</v>
      </c>
      <c r="AQ81">
        <v>-1</v>
      </c>
      <c r="AR81">
        <v>0</v>
      </c>
      <c r="AS81">
        <v>1</v>
      </c>
      <c r="AT81">
        <v>1</v>
      </c>
      <c r="AU81">
        <v>2</v>
      </c>
      <c r="AV81" t="s">
        <v>118</v>
      </c>
      <c r="AW81">
        <v>3</v>
      </c>
      <c r="AX81">
        <v>1</v>
      </c>
      <c r="AY81">
        <v>0</v>
      </c>
      <c r="AZ81">
        <v>1</v>
      </c>
    </row>
    <row r="82" spans="1:52" x14ac:dyDescent="0.35">
      <c r="A82">
        <v>2025221665831</v>
      </c>
      <c r="B82">
        <v>2025</v>
      </c>
      <c r="C82">
        <v>221665831</v>
      </c>
      <c r="D82">
        <v>403372</v>
      </c>
      <c r="E82">
        <v>266298</v>
      </c>
      <c r="F82">
        <v>-1.95198</v>
      </c>
      <c r="G82">
        <v>52.294800000000002</v>
      </c>
      <c r="H82">
        <v>22</v>
      </c>
      <c r="I82">
        <v>2</v>
      </c>
      <c r="J82" t="str">
        <f>VLOOKUP(I82, Lookups!$B$1:$C$4, 2, FALSE)</f>
        <v>Serious</v>
      </c>
      <c r="K82">
        <v>2</v>
      </c>
      <c r="L82">
        <v>1</v>
      </c>
      <c r="M82" s="1">
        <v>45969</v>
      </c>
      <c r="N82">
        <v>7</v>
      </c>
      <c r="O82" t="str">
        <f>VLOOKUP(N82, Lookups!$B$6:$C$12, 2, FALSE)</f>
        <v>Saturday</v>
      </c>
      <c r="P82" s="2">
        <v>0.72499999999999998</v>
      </c>
      <c r="Q82">
        <v>-1</v>
      </c>
      <c r="R82" t="s">
        <v>69</v>
      </c>
      <c r="S82" t="s">
        <v>45</v>
      </c>
      <c r="T82" t="s">
        <v>45</v>
      </c>
      <c r="U82">
        <v>6</v>
      </c>
      <c r="V82" t="str">
        <f>VLOOKUP(U82, Lookups!$B$51:$C$57, 2, FALSE)</f>
        <v>Unclassified</v>
      </c>
      <c r="W82">
        <v>0</v>
      </c>
      <c r="X82" t="s">
        <v>362</v>
      </c>
      <c r="Y82">
        <v>6</v>
      </c>
      <c r="Z82" t="str">
        <f>VLOOKUP(Y82, Lookups!$B$14:$C$21, 2, FALSE)</f>
        <v>Single carriageway</v>
      </c>
      <c r="AA82">
        <v>30</v>
      </c>
      <c r="AB82">
        <v>-1</v>
      </c>
      <c r="AC82">
        <v>13</v>
      </c>
      <c r="AD82">
        <v>4</v>
      </c>
      <c r="AE82">
        <v>6</v>
      </c>
      <c r="AF82">
        <v>0</v>
      </c>
      <c r="AG82">
        <v>-1</v>
      </c>
      <c r="AH82">
        <v>-1</v>
      </c>
      <c r="AI82">
        <v>0</v>
      </c>
      <c r="AJ82">
        <v>4</v>
      </c>
      <c r="AK82" t="str">
        <f>VLOOKUP(AJ82, Lookups!$B$23:$C$28, 2, FALSE)</f>
        <v>Darkness (Lit)</v>
      </c>
      <c r="AL82">
        <v>1</v>
      </c>
      <c r="AM82" t="str">
        <f>VLOOKUP(AL82, Lookups!$B$30:$C$39, 2, FALSE)</f>
        <v>Fine / Clear</v>
      </c>
      <c r="AN82">
        <v>1</v>
      </c>
      <c r="AO82" t="str">
        <f>VLOOKUP(AN82, Lookups!$B$41:$C$49, 2, FALSE)</f>
        <v>Dry</v>
      </c>
      <c r="AP82">
        <v>-1</v>
      </c>
      <c r="AQ82">
        <v>-1</v>
      </c>
      <c r="AR82">
        <v>0</v>
      </c>
      <c r="AS82">
        <v>1</v>
      </c>
      <c r="AT82">
        <v>1</v>
      </c>
      <c r="AU82">
        <v>2</v>
      </c>
      <c r="AV82" t="s">
        <v>119</v>
      </c>
      <c r="AW82">
        <v>7</v>
      </c>
      <c r="AX82">
        <v>1</v>
      </c>
      <c r="AY82">
        <v>1</v>
      </c>
      <c r="AZ82">
        <v>0</v>
      </c>
    </row>
    <row r="83" spans="1:52" x14ac:dyDescent="0.35">
      <c r="A83">
        <v>2025221679577</v>
      </c>
      <c r="B83">
        <v>2025</v>
      </c>
      <c r="C83">
        <v>221679577</v>
      </c>
      <c r="D83">
        <v>395220</v>
      </c>
      <c r="E83">
        <v>277460</v>
      </c>
      <c r="F83">
        <v>-2.0716700000000001</v>
      </c>
      <c r="G83">
        <v>52.395139999999998</v>
      </c>
      <c r="H83">
        <v>22</v>
      </c>
      <c r="I83">
        <v>1</v>
      </c>
      <c r="J83" t="str">
        <f>VLOOKUP(I83, Lookups!$B$1:$C$4, 2, FALSE)</f>
        <v>Fatal</v>
      </c>
      <c r="K83">
        <v>2</v>
      </c>
      <c r="L83">
        <v>3</v>
      </c>
      <c r="M83" s="1">
        <v>45998</v>
      </c>
      <c r="N83">
        <v>1</v>
      </c>
      <c r="O83" t="str">
        <f>VLOOKUP(N83, Lookups!$B$6:$C$12, 2, FALSE)</f>
        <v>Sunday</v>
      </c>
      <c r="P83" s="2">
        <v>0.7006944444444444</v>
      </c>
      <c r="Q83">
        <v>-1</v>
      </c>
      <c r="R83" t="s">
        <v>47</v>
      </c>
      <c r="S83" t="s">
        <v>45</v>
      </c>
      <c r="T83" t="s">
        <v>45</v>
      </c>
      <c r="U83">
        <v>6</v>
      </c>
      <c r="V83" t="str">
        <f>VLOOKUP(U83, Lookups!$B$51:$C$57, 2, FALSE)</f>
        <v>Unclassified</v>
      </c>
      <c r="W83">
        <v>0</v>
      </c>
      <c r="X83" t="s">
        <v>362</v>
      </c>
      <c r="Y83">
        <v>6</v>
      </c>
      <c r="Z83" t="str">
        <f>VLOOKUP(Y83, Lookups!$B$14:$C$21, 2, FALSE)</f>
        <v>Single carriageway</v>
      </c>
      <c r="AA83">
        <v>40</v>
      </c>
      <c r="AB83">
        <v>-1</v>
      </c>
      <c r="AC83">
        <v>16</v>
      </c>
      <c r="AD83">
        <v>3</v>
      </c>
      <c r="AE83">
        <v>6</v>
      </c>
      <c r="AF83">
        <v>0</v>
      </c>
      <c r="AG83">
        <v>-1</v>
      </c>
      <c r="AH83">
        <v>-1</v>
      </c>
      <c r="AI83">
        <v>0</v>
      </c>
      <c r="AJ83">
        <v>6</v>
      </c>
      <c r="AK83" t="str">
        <f>VLOOKUP(AJ83, Lookups!$B$23:$C$28, 2, FALSE)</f>
        <v>Darkness (Unlit)</v>
      </c>
      <c r="AL83">
        <v>2</v>
      </c>
      <c r="AM83" t="str">
        <f>VLOOKUP(AL83, Lookups!$B$30:$C$39, 2, FALSE)</f>
        <v>Rain</v>
      </c>
      <c r="AN83">
        <v>2</v>
      </c>
      <c r="AO83" t="str">
        <f>VLOOKUP(AN83, Lookups!$B$41:$C$49, 2, FALSE)</f>
        <v>Wet / damp</v>
      </c>
      <c r="AP83">
        <v>-1</v>
      </c>
      <c r="AQ83">
        <v>-1</v>
      </c>
      <c r="AR83">
        <v>0</v>
      </c>
      <c r="AS83">
        <v>2</v>
      </c>
      <c r="AT83">
        <v>1</v>
      </c>
      <c r="AU83">
        <v>2</v>
      </c>
      <c r="AV83" t="s">
        <v>120</v>
      </c>
      <c r="AW83">
        <v>1</v>
      </c>
      <c r="AX83">
        <v>1</v>
      </c>
      <c r="AY83">
        <v>0</v>
      </c>
      <c r="AZ83">
        <v>0</v>
      </c>
    </row>
    <row r="84" spans="1:52" x14ac:dyDescent="0.35">
      <c r="A84">
        <v>2025221541148</v>
      </c>
      <c r="B84">
        <v>2025</v>
      </c>
      <c r="C84">
        <v>221541148</v>
      </c>
      <c r="D84">
        <v>383552</v>
      </c>
      <c r="E84">
        <v>252181</v>
      </c>
      <c r="F84">
        <v>-2.2418999999999998</v>
      </c>
      <c r="G84">
        <v>52.167650000000002</v>
      </c>
      <c r="H84">
        <v>22</v>
      </c>
      <c r="I84">
        <v>3</v>
      </c>
      <c r="J84" t="str">
        <f>VLOOKUP(I84, Lookups!$B$1:$C$4, 2, FALSE)</f>
        <v>Slight</v>
      </c>
      <c r="K84">
        <v>2</v>
      </c>
      <c r="L84">
        <v>1</v>
      </c>
      <c r="M84" s="1">
        <v>45670</v>
      </c>
      <c r="N84">
        <v>2</v>
      </c>
      <c r="O84" t="str">
        <f>VLOOKUP(N84, Lookups!$B$6:$C$12, 2, FALSE)</f>
        <v>Monday</v>
      </c>
      <c r="P84" s="2">
        <v>0.72847222222222219</v>
      </c>
      <c r="Q84">
        <v>-1</v>
      </c>
      <c r="R84" t="s">
        <v>49</v>
      </c>
      <c r="S84" t="s">
        <v>45</v>
      </c>
      <c r="T84" t="s">
        <v>45</v>
      </c>
      <c r="U84">
        <v>3</v>
      </c>
      <c r="V84" t="str">
        <f>VLOOKUP(U84, Lookups!$B$51:$C$57, 2, FALSE)</f>
        <v>A</v>
      </c>
      <c r="W84">
        <v>449</v>
      </c>
      <c r="X84" t="str">
        <f>V84&amp;W84</f>
        <v>A449</v>
      </c>
      <c r="Y84">
        <v>1</v>
      </c>
      <c r="Z84" t="str">
        <f>VLOOKUP(Y84, Lookups!$B$14:$C$21, 2, FALSE)</f>
        <v>Roundabout</v>
      </c>
      <c r="AA84">
        <v>40</v>
      </c>
      <c r="AB84">
        <v>-1</v>
      </c>
      <c r="AC84">
        <v>-1</v>
      </c>
      <c r="AD84">
        <v>4</v>
      </c>
      <c r="AE84">
        <v>3</v>
      </c>
      <c r="AF84">
        <v>4440</v>
      </c>
      <c r="AG84">
        <v>-1</v>
      </c>
      <c r="AH84">
        <v>-1</v>
      </c>
      <c r="AI84">
        <v>0</v>
      </c>
      <c r="AJ84">
        <v>4</v>
      </c>
      <c r="AK84" t="str">
        <f>VLOOKUP(AJ84, Lookups!$B$23:$C$28, 2, FALSE)</f>
        <v>Darkness (Lit)</v>
      </c>
      <c r="AL84">
        <v>1</v>
      </c>
      <c r="AM84" t="str">
        <f>VLOOKUP(AL84, Lookups!$B$30:$C$39, 2, FALSE)</f>
        <v>Fine / Clear</v>
      </c>
      <c r="AN84">
        <v>1</v>
      </c>
      <c r="AO84" t="str">
        <f>VLOOKUP(AN84, Lookups!$B$41:$C$49, 2, FALSE)</f>
        <v>Dry</v>
      </c>
      <c r="AP84">
        <v>-1</v>
      </c>
      <c r="AQ84">
        <v>-1</v>
      </c>
      <c r="AR84">
        <v>0</v>
      </c>
      <c r="AS84">
        <v>2</v>
      </c>
      <c r="AT84">
        <v>1</v>
      </c>
      <c r="AU84">
        <v>2</v>
      </c>
      <c r="AV84" t="s">
        <v>121</v>
      </c>
      <c r="AW84">
        <v>3</v>
      </c>
      <c r="AX84">
        <v>1</v>
      </c>
      <c r="AY84">
        <v>0</v>
      </c>
      <c r="AZ84">
        <v>1</v>
      </c>
    </row>
    <row r="85" spans="1:52" x14ac:dyDescent="0.35">
      <c r="A85">
        <v>2025221606829</v>
      </c>
      <c r="B85">
        <v>2025</v>
      </c>
      <c r="C85">
        <v>221606829</v>
      </c>
      <c r="D85">
        <v>385108</v>
      </c>
      <c r="E85">
        <v>254346</v>
      </c>
      <c r="F85">
        <v>-2.2192500000000002</v>
      </c>
      <c r="G85">
        <v>52.187150000000003</v>
      </c>
      <c r="H85">
        <v>22</v>
      </c>
      <c r="I85">
        <v>3</v>
      </c>
      <c r="J85" t="str">
        <f>VLOOKUP(I85, Lookups!$B$1:$C$4, 2, FALSE)</f>
        <v>Slight</v>
      </c>
      <c r="K85">
        <v>1</v>
      </c>
      <c r="L85">
        <v>1</v>
      </c>
      <c r="M85" s="1">
        <v>45805</v>
      </c>
      <c r="N85">
        <v>4</v>
      </c>
      <c r="O85" t="str">
        <f>VLOOKUP(N85, Lookups!$B$6:$C$12, 2, FALSE)</f>
        <v>Wednesday</v>
      </c>
      <c r="P85" s="2">
        <v>0.42569444444444443</v>
      </c>
      <c r="Q85">
        <v>-1</v>
      </c>
      <c r="R85" t="s">
        <v>60</v>
      </c>
      <c r="S85" t="s">
        <v>45</v>
      </c>
      <c r="T85" t="s">
        <v>45</v>
      </c>
      <c r="U85">
        <v>6</v>
      </c>
      <c r="V85" t="str">
        <f>VLOOKUP(U85, Lookups!$B$51:$C$57, 2, FALSE)</f>
        <v>Unclassified</v>
      </c>
      <c r="W85">
        <v>0</v>
      </c>
      <c r="X85" t="s">
        <v>362</v>
      </c>
      <c r="Y85">
        <v>3</v>
      </c>
      <c r="Z85" t="str">
        <f>VLOOKUP(Y85, Lookups!$B$14:$C$21, 2, FALSE)</f>
        <v>Dual carriageway</v>
      </c>
      <c r="AA85">
        <v>30</v>
      </c>
      <c r="AB85">
        <v>-1</v>
      </c>
      <c r="AC85">
        <v>0</v>
      </c>
      <c r="AD85">
        <v>-1</v>
      </c>
      <c r="AE85">
        <v>6</v>
      </c>
      <c r="AF85">
        <v>0</v>
      </c>
      <c r="AG85">
        <v>-1</v>
      </c>
      <c r="AH85">
        <v>-1</v>
      </c>
      <c r="AI85">
        <v>0</v>
      </c>
      <c r="AJ85">
        <v>1</v>
      </c>
      <c r="AK85" t="str">
        <f>VLOOKUP(AJ85, Lookups!$B$23:$C$28, 2, FALSE)</f>
        <v>Daylight</v>
      </c>
      <c r="AL85">
        <v>1</v>
      </c>
      <c r="AM85" t="str">
        <f>VLOOKUP(AL85, Lookups!$B$30:$C$39, 2, FALSE)</f>
        <v>Fine / Clear</v>
      </c>
      <c r="AN85">
        <v>1</v>
      </c>
      <c r="AO85" t="str">
        <f>VLOOKUP(AN85, Lookups!$B$41:$C$49, 2, FALSE)</f>
        <v>Dry</v>
      </c>
      <c r="AP85">
        <v>-1</v>
      </c>
      <c r="AQ85">
        <v>-1</v>
      </c>
      <c r="AR85">
        <v>0</v>
      </c>
      <c r="AS85">
        <v>1</v>
      </c>
      <c r="AT85">
        <v>1</v>
      </c>
      <c r="AU85">
        <v>2</v>
      </c>
      <c r="AV85" t="s">
        <v>122</v>
      </c>
      <c r="AW85">
        <v>3</v>
      </c>
      <c r="AX85">
        <v>1</v>
      </c>
      <c r="AY85">
        <v>0</v>
      </c>
      <c r="AZ85">
        <v>1</v>
      </c>
    </row>
    <row r="86" spans="1:52" x14ac:dyDescent="0.35">
      <c r="A86">
        <v>2025221601753</v>
      </c>
      <c r="B86">
        <v>2025</v>
      </c>
      <c r="C86">
        <v>221601753</v>
      </c>
      <c r="D86">
        <v>371434</v>
      </c>
      <c r="E86">
        <v>271843</v>
      </c>
      <c r="F86">
        <v>-2.4207399999999999</v>
      </c>
      <c r="G86">
        <v>52.343910000000001</v>
      </c>
      <c r="H86">
        <v>22</v>
      </c>
      <c r="I86">
        <v>3</v>
      </c>
      <c r="J86" t="str">
        <f>VLOOKUP(I86, Lookups!$B$1:$C$4, 2, FALSE)</f>
        <v>Slight</v>
      </c>
      <c r="K86">
        <v>2</v>
      </c>
      <c r="L86">
        <v>2</v>
      </c>
      <c r="M86" s="1">
        <v>45819</v>
      </c>
      <c r="N86">
        <v>4</v>
      </c>
      <c r="O86" t="str">
        <f>VLOOKUP(N86, Lookups!$B$6:$C$12, 2, FALSE)</f>
        <v>Wednesday</v>
      </c>
      <c r="P86" s="2">
        <v>0.44444444444444442</v>
      </c>
      <c r="Q86">
        <v>-1</v>
      </c>
      <c r="R86" t="s">
        <v>49</v>
      </c>
      <c r="S86" t="s">
        <v>45</v>
      </c>
      <c r="T86" t="s">
        <v>45</v>
      </c>
      <c r="U86">
        <v>3</v>
      </c>
      <c r="V86" t="str">
        <f>VLOOKUP(U86, Lookups!$B$51:$C$57, 2, FALSE)</f>
        <v>A</v>
      </c>
      <c r="W86">
        <v>456</v>
      </c>
      <c r="X86" t="str">
        <f t="shared" ref="X86:X87" si="12">V86&amp;W86</f>
        <v>A456</v>
      </c>
      <c r="Y86">
        <v>6</v>
      </c>
      <c r="Z86" t="str">
        <f>VLOOKUP(Y86, Lookups!$B$14:$C$21, 2, FALSE)</f>
        <v>Single carriageway</v>
      </c>
      <c r="AA86">
        <v>30</v>
      </c>
      <c r="AB86">
        <v>-1</v>
      </c>
      <c r="AC86">
        <v>16</v>
      </c>
      <c r="AD86">
        <v>4</v>
      </c>
      <c r="AE86">
        <v>4</v>
      </c>
      <c r="AF86">
        <v>4202</v>
      </c>
      <c r="AG86">
        <v>-1</v>
      </c>
      <c r="AH86">
        <v>-1</v>
      </c>
      <c r="AI86">
        <v>0</v>
      </c>
      <c r="AJ86">
        <v>1</v>
      </c>
      <c r="AK86" t="str">
        <f>VLOOKUP(AJ86, Lookups!$B$23:$C$28, 2, FALSE)</f>
        <v>Daylight</v>
      </c>
      <c r="AL86">
        <v>1</v>
      </c>
      <c r="AM86" t="str">
        <f>VLOOKUP(AL86, Lookups!$B$30:$C$39, 2, FALSE)</f>
        <v>Fine / Clear</v>
      </c>
      <c r="AN86">
        <v>1</v>
      </c>
      <c r="AO86" t="str">
        <f>VLOOKUP(AN86, Lookups!$B$41:$C$49, 2, FALSE)</f>
        <v>Dry</v>
      </c>
      <c r="AP86">
        <v>-1</v>
      </c>
      <c r="AQ86">
        <v>-1</v>
      </c>
      <c r="AR86">
        <v>0</v>
      </c>
      <c r="AS86">
        <v>2</v>
      </c>
      <c r="AT86">
        <v>1</v>
      </c>
      <c r="AU86">
        <v>2</v>
      </c>
      <c r="AV86" t="s">
        <v>123</v>
      </c>
      <c r="AW86">
        <v>3</v>
      </c>
      <c r="AX86">
        <v>1</v>
      </c>
      <c r="AY86">
        <v>0</v>
      </c>
      <c r="AZ86">
        <v>1</v>
      </c>
    </row>
    <row r="87" spans="1:52" x14ac:dyDescent="0.35">
      <c r="A87">
        <v>2025221567749</v>
      </c>
      <c r="B87">
        <v>2025</v>
      </c>
      <c r="C87">
        <v>221567749</v>
      </c>
      <c r="D87">
        <v>384563</v>
      </c>
      <c r="E87">
        <v>266776</v>
      </c>
      <c r="F87">
        <v>-2.2277900000000002</v>
      </c>
      <c r="G87">
        <v>52.29889</v>
      </c>
      <c r="H87">
        <v>22</v>
      </c>
      <c r="I87">
        <v>3</v>
      </c>
      <c r="J87" t="str">
        <f>VLOOKUP(I87, Lookups!$B$1:$C$4, 2, FALSE)</f>
        <v>Slight</v>
      </c>
      <c r="K87">
        <v>1</v>
      </c>
      <c r="L87">
        <v>1</v>
      </c>
      <c r="M87" s="1">
        <v>45736</v>
      </c>
      <c r="N87">
        <v>5</v>
      </c>
      <c r="O87" t="str">
        <f>VLOOKUP(N87, Lookups!$B$6:$C$12, 2, FALSE)</f>
        <v>Thursday</v>
      </c>
      <c r="P87" s="2">
        <v>0.78749999999999998</v>
      </c>
      <c r="Q87">
        <v>-1</v>
      </c>
      <c r="R87" t="s">
        <v>54</v>
      </c>
      <c r="S87" t="s">
        <v>45</v>
      </c>
      <c r="T87" t="s">
        <v>45</v>
      </c>
      <c r="U87">
        <v>3</v>
      </c>
      <c r="V87" t="str">
        <f>VLOOKUP(U87, Lookups!$B$51:$C$57, 2, FALSE)</f>
        <v>A</v>
      </c>
      <c r="W87">
        <v>449</v>
      </c>
      <c r="X87" t="str">
        <f t="shared" si="12"/>
        <v>A449</v>
      </c>
      <c r="Y87">
        <v>3</v>
      </c>
      <c r="Z87" t="str">
        <f>VLOOKUP(Y87, Lookups!$B$14:$C$21, 2, FALSE)</f>
        <v>Dual carriageway</v>
      </c>
      <c r="AA87">
        <v>50</v>
      </c>
      <c r="AB87">
        <v>-1</v>
      </c>
      <c r="AC87">
        <v>0</v>
      </c>
      <c r="AD87">
        <v>-1</v>
      </c>
      <c r="AE87">
        <v>6</v>
      </c>
      <c r="AF87">
        <v>0</v>
      </c>
      <c r="AG87">
        <v>-1</v>
      </c>
      <c r="AH87">
        <v>-1</v>
      </c>
      <c r="AI87">
        <v>0</v>
      </c>
      <c r="AJ87">
        <v>6</v>
      </c>
      <c r="AK87" t="str">
        <f>VLOOKUP(AJ87, Lookups!$B$23:$C$28, 2, FALSE)</f>
        <v>Darkness (Unlit)</v>
      </c>
      <c r="AL87">
        <v>1</v>
      </c>
      <c r="AM87" t="str">
        <f>VLOOKUP(AL87, Lookups!$B$30:$C$39, 2, FALSE)</f>
        <v>Fine / Clear</v>
      </c>
      <c r="AN87">
        <v>1</v>
      </c>
      <c r="AO87" t="str">
        <f>VLOOKUP(AN87, Lookups!$B$41:$C$49, 2, FALSE)</f>
        <v>Dry</v>
      </c>
      <c r="AP87">
        <v>-1</v>
      </c>
      <c r="AQ87">
        <v>-1</v>
      </c>
      <c r="AR87">
        <v>20</v>
      </c>
      <c r="AS87">
        <v>2</v>
      </c>
      <c r="AT87">
        <v>1</v>
      </c>
      <c r="AU87">
        <v>2</v>
      </c>
      <c r="AV87" t="s">
        <v>124</v>
      </c>
      <c r="AW87">
        <v>3</v>
      </c>
      <c r="AX87">
        <v>1</v>
      </c>
      <c r="AY87">
        <v>0</v>
      </c>
      <c r="AZ87">
        <v>1</v>
      </c>
    </row>
    <row r="88" spans="1:52" x14ac:dyDescent="0.35">
      <c r="A88">
        <v>2025221628248</v>
      </c>
      <c r="B88">
        <v>2025</v>
      </c>
      <c r="C88">
        <v>221628248</v>
      </c>
      <c r="D88">
        <v>405950</v>
      </c>
      <c r="E88">
        <v>264850</v>
      </c>
      <c r="F88">
        <v>-1.9141999999999999</v>
      </c>
      <c r="G88">
        <v>52.281759999999998</v>
      </c>
      <c r="H88">
        <v>22</v>
      </c>
      <c r="I88">
        <v>3</v>
      </c>
      <c r="J88" t="str">
        <f>VLOOKUP(I88, Lookups!$B$1:$C$4, 2, FALSE)</f>
        <v>Slight</v>
      </c>
      <c r="K88">
        <v>2</v>
      </c>
      <c r="L88">
        <v>1</v>
      </c>
      <c r="M88" s="1">
        <v>45876</v>
      </c>
      <c r="N88">
        <v>5</v>
      </c>
      <c r="O88" t="str">
        <f>VLOOKUP(N88, Lookups!$B$6:$C$12, 2, FALSE)</f>
        <v>Thursday</v>
      </c>
      <c r="P88" s="2">
        <v>0.36527777777777776</v>
      </c>
      <c r="Q88">
        <v>-1</v>
      </c>
      <c r="R88" t="s">
        <v>69</v>
      </c>
      <c r="S88" t="s">
        <v>45</v>
      </c>
      <c r="T88" t="s">
        <v>45</v>
      </c>
      <c r="U88">
        <v>6</v>
      </c>
      <c r="V88" t="str">
        <f>VLOOKUP(U88, Lookups!$B$51:$C$57, 2, FALSE)</f>
        <v>Unclassified</v>
      </c>
      <c r="W88">
        <v>0</v>
      </c>
      <c r="X88" t="s">
        <v>362</v>
      </c>
      <c r="Y88">
        <v>1</v>
      </c>
      <c r="Z88" t="str">
        <f>VLOOKUP(Y88, Lookups!$B$14:$C$21, 2, FALSE)</f>
        <v>Roundabout</v>
      </c>
      <c r="AA88">
        <v>30</v>
      </c>
      <c r="AB88">
        <v>-1</v>
      </c>
      <c r="AC88">
        <v>-1</v>
      </c>
      <c r="AD88">
        <v>4</v>
      </c>
      <c r="AE88">
        <v>6</v>
      </c>
      <c r="AF88">
        <v>0</v>
      </c>
      <c r="AG88">
        <v>-1</v>
      </c>
      <c r="AH88">
        <v>-1</v>
      </c>
      <c r="AI88">
        <v>0</v>
      </c>
      <c r="AJ88">
        <v>1</v>
      </c>
      <c r="AK88" t="str">
        <f>VLOOKUP(AJ88, Lookups!$B$23:$C$28, 2, FALSE)</f>
        <v>Daylight</v>
      </c>
      <c r="AL88">
        <v>1</v>
      </c>
      <c r="AM88" t="str">
        <f>VLOOKUP(AL88, Lookups!$B$30:$C$39, 2, FALSE)</f>
        <v>Fine / Clear</v>
      </c>
      <c r="AN88">
        <v>1</v>
      </c>
      <c r="AO88" t="str">
        <f>VLOOKUP(AN88, Lookups!$B$41:$C$49, 2, FALSE)</f>
        <v>Dry</v>
      </c>
      <c r="AP88">
        <v>-1</v>
      </c>
      <c r="AQ88">
        <v>-1</v>
      </c>
      <c r="AR88">
        <v>0</v>
      </c>
      <c r="AS88">
        <v>2</v>
      </c>
      <c r="AT88">
        <v>1</v>
      </c>
      <c r="AU88">
        <v>2</v>
      </c>
      <c r="AV88" t="s">
        <v>70</v>
      </c>
      <c r="AW88">
        <v>3</v>
      </c>
      <c r="AX88">
        <v>1</v>
      </c>
      <c r="AY88">
        <v>0</v>
      </c>
      <c r="AZ88">
        <v>1</v>
      </c>
    </row>
    <row r="89" spans="1:52" x14ac:dyDescent="0.35">
      <c r="A89">
        <v>2025221664444</v>
      </c>
      <c r="B89">
        <v>2025</v>
      </c>
      <c r="C89">
        <v>221664444</v>
      </c>
      <c r="D89">
        <v>393368</v>
      </c>
      <c r="E89">
        <v>268639</v>
      </c>
      <c r="F89">
        <v>-2.0987100000000001</v>
      </c>
      <c r="G89">
        <v>52.315820000000002</v>
      </c>
      <c r="H89">
        <v>22</v>
      </c>
      <c r="I89">
        <v>2</v>
      </c>
      <c r="J89" t="str">
        <f>VLOOKUP(I89, Lookups!$B$1:$C$4, 2, FALSE)</f>
        <v>Serious</v>
      </c>
      <c r="K89">
        <v>1</v>
      </c>
      <c r="L89">
        <v>1</v>
      </c>
      <c r="M89" s="1">
        <v>45967</v>
      </c>
      <c r="N89">
        <v>5</v>
      </c>
      <c r="O89" t="str">
        <f>VLOOKUP(N89, Lookups!$B$6:$C$12, 2, FALSE)</f>
        <v>Thursday</v>
      </c>
      <c r="P89" s="2">
        <v>0.49027777777777776</v>
      </c>
      <c r="Q89">
        <v>-1</v>
      </c>
      <c r="R89" t="s">
        <v>47</v>
      </c>
      <c r="S89" t="s">
        <v>45</v>
      </c>
      <c r="T89" t="s">
        <v>45</v>
      </c>
      <c r="U89">
        <v>1</v>
      </c>
      <c r="V89" t="str">
        <f>VLOOKUP(U89, Lookups!$B$51:$C$57, 2, FALSE)</f>
        <v>M</v>
      </c>
      <c r="W89">
        <v>5</v>
      </c>
      <c r="X89" t="str">
        <f>V89&amp;W89</f>
        <v>M5</v>
      </c>
      <c r="Y89">
        <v>3</v>
      </c>
      <c r="Z89" t="str">
        <f>VLOOKUP(Y89, Lookups!$B$14:$C$21, 2, FALSE)</f>
        <v>Dual carriageway</v>
      </c>
      <c r="AA89">
        <v>70</v>
      </c>
      <c r="AB89">
        <v>-1</v>
      </c>
      <c r="AC89">
        <v>0</v>
      </c>
      <c r="AD89">
        <v>-1</v>
      </c>
      <c r="AE89">
        <v>0</v>
      </c>
      <c r="AF89">
        <v>-1</v>
      </c>
      <c r="AG89">
        <v>-1</v>
      </c>
      <c r="AH89">
        <v>-1</v>
      </c>
      <c r="AI89">
        <v>0</v>
      </c>
      <c r="AJ89">
        <v>1</v>
      </c>
      <c r="AK89" t="str">
        <f>VLOOKUP(AJ89, Lookups!$B$23:$C$28, 2, FALSE)</f>
        <v>Daylight</v>
      </c>
      <c r="AL89">
        <v>1</v>
      </c>
      <c r="AM89" t="str">
        <f>VLOOKUP(AL89, Lookups!$B$30:$C$39, 2, FALSE)</f>
        <v>Fine / Clear</v>
      </c>
      <c r="AN89">
        <v>1</v>
      </c>
      <c r="AO89" t="str">
        <f>VLOOKUP(AN89, Lookups!$B$41:$C$49, 2, FALSE)</f>
        <v>Dry</v>
      </c>
      <c r="AP89">
        <v>-1</v>
      </c>
      <c r="AQ89">
        <v>-1</v>
      </c>
      <c r="AR89">
        <v>0</v>
      </c>
      <c r="AS89">
        <v>2</v>
      </c>
      <c r="AT89">
        <v>1</v>
      </c>
      <c r="AU89">
        <v>1</v>
      </c>
      <c r="AV89" t="s">
        <v>125</v>
      </c>
      <c r="AW89">
        <v>7</v>
      </c>
      <c r="AX89">
        <v>1</v>
      </c>
      <c r="AY89">
        <v>1</v>
      </c>
      <c r="AZ89">
        <v>0</v>
      </c>
    </row>
    <row r="90" spans="1:52" x14ac:dyDescent="0.35">
      <c r="A90">
        <v>2025221572355</v>
      </c>
      <c r="B90">
        <v>2025</v>
      </c>
      <c r="C90">
        <v>221572355</v>
      </c>
      <c r="D90">
        <v>398994</v>
      </c>
      <c r="E90">
        <v>277338</v>
      </c>
      <c r="F90">
        <v>-2.0162100000000001</v>
      </c>
      <c r="G90">
        <v>52.394060000000003</v>
      </c>
      <c r="H90">
        <v>22</v>
      </c>
      <c r="I90">
        <v>2</v>
      </c>
      <c r="J90" t="str">
        <f>VLOOKUP(I90, Lookups!$B$1:$C$4, 2, FALSE)</f>
        <v>Serious</v>
      </c>
      <c r="K90">
        <v>1</v>
      </c>
      <c r="L90">
        <v>1</v>
      </c>
      <c r="M90" s="1">
        <v>45747</v>
      </c>
      <c r="N90">
        <v>2</v>
      </c>
      <c r="O90" t="str">
        <f>VLOOKUP(N90, Lookups!$B$6:$C$12, 2, FALSE)</f>
        <v>Monday</v>
      </c>
      <c r="P90" s="2">
        <v>0.40763888888888888</v>
      </c>
      <c r="Q90">
        <v>-1</v>
      </c>
      <c r="R90" t="s">
        <v>47</v>
      </c>
      <c r="S90" t="s">
        <v>45</v>
      </c>
      <c r="T90" t="s">
        <v>45</v>
      </c>
      <c r="U90">
        <v>6</v>
      </c>
      <c r="V90" t="str">
        <f>VLOOKUP(U90, Lookups!$B$51:$C$57, 2, FALSE)</f>
        <v>Unclassified</v>
      </c>
      <c r="W90">
        <v>0</v>
      </c>
      <c r="X90" t="s">
        <v>362</v>
      </c>
      <c r="Y90">
        <v>6</v>
      </c>
      <c r="Z90" t="str">
        <f>VLOOKUP(Y90, Lookups!$B$14:$C$21, 2, FALSE)</f>
        <v>Single carriageway</v>
      </c>
      <c r="AA90">
        <v>30</v>
      </c>
      <c r="AB90">
        <v>-1</v>
      </c>
      <c r="AC90">
        <v>19</v>
      </c>
      <c r="AD90">
        <v>4</v>
      </c>
      <c r="AE90">
        <v>6</v>
      </c>
      <c r="AF90">
        <v>0</v>
      </c>
      <c r="AG90">
        <v>-1</v>
      </c>
      <c r="AH90">
        <v>-1</v>
      </c>
      <c r="AI90">
        <v>14</v>
      </c>
      <c r="AJ90">
        <v>1</v>
      </c>
      <c r="AK90" t="str">
        <f>VLOOKUP(AJ90, Lookups!$B$23:$C$28, 2, FALSE)</f>
        <v>Daylight</v>
      </c>
      <c r="AL90">
        <v>1</v>
      </c>
      <c r="AM90" t="str">
        <f>VLOOKUP(AL90, Lookups!$B$30:$C$39, 2, FALSE)</f>
        <v>Fine / Clear</v>
      </c>
      <c r="AN90">
        <v>1</v>
      </c>
      <c r="AO90" t="str">
        <f>VLOOKUP(AN90, Lookups!$B$41:$C$49, 2, FALSE)</f>
        <v>Dry</v>
      </c>
      <c r="AP90">
        <v>-1</v>
      </c>
      <c r="AQ90">
        <v>-1</v>
      </c>
      <c r="AR90">
        <v>0</v>
      </c>
      <c r="AS90">
        <v>1</v>
      </c>
      <c r="AT90">
        <v>1</v>
      </c>
      <c r="AU90">
        <v>2</v>
      </c>
      <c r="AV90" t="s">
        <v>126</v>
      </c>
      <c r="AW90">
        <v>7</v>
      </c>
      <c r="AX90">
        <v>1</v>
      </c>
      <c r="AY90">
        <v>1</v>
      </c>
      <c r="AZ90">
        <v>0</v>
      </c>
    </row>
    <row r="91" spans="1:52" x14ac:dyDescent="0.35">
      <c r="A91">
        <v>2025221588492</v>
      </c>
      <c r="B91">
        <v>2025</v>
      </c>
      <c r="C91">
        <v>221588492</v>
      </c>
      <c r="D91">
        <v>390421</v>
      </c>
      <c r="E91">
        <v>239783</v>
      </c>
      <c r="F91">
        <v>-2.1411199999999999</v>
      </c>
      <c r="G91">
        <v>52.056350000000002</v>
      </c>
      <c r="H91">
        <v>22</v>
      </c>
      <c r="I91">
        <v>2</v>
      </c>
      <c r="J91" t="str">
        <f>VLOOKUP(I91, Lookups!$B$1:$C$4, 2, FALSE)</f>
        <v>Serious</v>
      </c>
      <c r="K91">
        <v>3</v>
      </c>
      <c r="L91">
        <v>1</v>
      </c>
      <c r="M91" s="1">
        <v>45788</v>
      </c>
      <c r="N91">
        <v>1</v>
      </c>
      <c r="O91" t="str">
        <f>VLOOKUP(N91, Lookups!$B$6:$C$12, 2, FALSE)</f>
        <v>Sunday</v>
      </c>
      <c r="P91" s="2">
        <v>0.51111111111111107</v>
      </c>
      <c r="Q91">
        <v>-1</v>
      </c>
      <c r="R91" t="s">
        <v>54</v>
      </c>
      <c r="S91" t="s">
        <v>45</v>
      </c>
      <c r="T91" t="s">
        <v>45</v>
      </c>
      <c r="U91">
        <v>1</v>
      </c>
      <c r="V91" t="str">
        <f>VLOOKUP(U91, Lookups!$B$51:$C$57, 2, FALSE)</f>
        <v>M</v>
      </c>
      <c r="W91">
        <v>5</v>
      </c>
      <c r="X91" t="str">
        <f>V91&amp;W91</f>
        <v>M5</v>
      </c>
      <c r="Y91">
        <v>3</v>
      </c>
      <c r="Z91" t="str">
        <f>VLOOKUP(Y91, Lookups!$B$14:$C$21, 2, FALSE)</f>
        <v>Dual carriageway</v>
      </c>
      <c r="AA91">
        <v>70</v>
      </c>
      <c r="AB91">
        <v>-1</v>
      </c>
      <c r="AC91">
        <v>0</v>
      </c>
      <c r="AD91">
        <v>-1</v>
      </c>
      <c r="AE91">
        <v>1</v>
      </c>
      <c r="AF91">
        <v>50</v>
      </c>
      <c r="AG91">
        <v>-1</v>
      </c>
      <c r="AH91">
        <v>-1</v>
      </c>
      <c r="AI91">
        <v>0</v>
      </c>
      <c r="AJ91">
        <v>1</v>
      </c>
      <c r="AK91" t="str">
        <f>VLOOKUP(AJ91, Lookups!$B$23:$C$28, 2, FALSE)</f>
        <v>Daylight</v>
      </c>
      <c r="AL91">
        <v>1</v>
      </c>
      <c r="AM91" t="str">
        <f>VLOOKUP(AL91, Lookups!$B$30:$C$39, 2, FALSE)</f>
        <v>Fine / Clear</v>
      </c>
      <c r="AN91">
        <v>1</v>
      </c>
      <c r="AO91" t="str">
        <f>VLOOKUP(AN91, Lookups!$B$41:$C$49, 2, FALSE)</f>
        <v>Dry</v>
      </c>
      <c r="AP91">
        <v>-1</v>
      </c>
      <c r="AQ91">
        <v>-1</v>
      </c>
      <c r="AR91">
        <v>20</v>
      </c>
      <c r="AS91">
        <v>2</v>
      </c>
      <c r="AT91">
        <v>1</v>
      </c>
      <c r="AU91">
        <v>1</v>
      </c>
      <c r="AV91" t="s">
        <v>86</v>
      </c>
      <c r="AW91">
        <v>5</v>
      </c>
      <c r="AX91">
        <v>1</v>
      </c>
      <c r="AY91">
        <v>1</v>
      </c>
      <c r="AZ91">
        <v>0</v>
      </c>
    </row>
    <row r="92" spans="1:52" x14ac:dyDescent="0.35">
      <c r="A92">
        <v>2025221570675</v>
      </c>
      <c r="B92">
        <v>2025</v>
      </c>
      <c r="C92">
        <v>221570675</v>
      </c>
      <c r="D92">
        <v>403672</v>
      </c>
      <c r="E92">
        <v>243766</v>
      </c>
      <c r="F92">
        <v>-1.9478200000000001</v>
      </c>
      <c r="G92">
        <v>52.092230000000001</v>
      </c>
      <c r="H92">
        <v>22</v>
      </c>
      <c r="I92">
        <v>3</v>
      </c>
      <c r="J92" t="str">
        <f>VLOOKUP(I92, Lookups!$B$1:$C$4, 2, FALSE)</f>
        <v>Slight</v>
      </c>
      <c r="K92">
        <v>1</v>
      </c>
      <c r="L92">
        <v>1</v>
      </c>
      <c r="M92" s="1">
        <v>45744</v>
      </c>
      <c r="N92">
        <v>6</v>
      </c>
      <c r="O92" t="str">
        <f>VLOOKUP(N92, Lookups!$B$6:$C$12, 2, FALSE)</f>
        <v>Friday</v>
      </c>
      <c r="P92" s="2">
        <v>0.54236111111111107</v>
      </c>
      <c r="Q92">
        <v>-1</v>
      </c>
      <c r="R92" t="s">
        <v>54</v>
      </c>
      <c r="S92" t="s">
        <v>45</v>
      </c>
      <c r="T92" t="s">
        <v>45</v>
      </c>
      <c r="U92">
        <v>6</v>
      </c>
      <c r="V92" t="str">
        <f>VLOOKUP(U92, Lookups!$B$51:$C$57, 2, FALSE)</f>
        <v>Unclassified</v>
      </c>
      <c r="W92">
        <v>0</v>
      </c>
      <c r="X92" t="s">
        <v>362</v>
      </c>
      <c r="Y92">
        <v>6</v>
      </c>
      <c r="Z92" t="str">
        <f>VLOOKUP(Y92, Lookups!$B$14:$C$21, 2, FALSE)</f>
        <v>Single carriageway</v>
      </c>
      <c r="AA92">
        <v>30</v>
      </c>
      <c r="AB92">
        <v>-1</v>
      </c>
      <c r="AC92">
        <v>13</v>
      </c>
      <c r="AD92">
        <v>4</v>
      </c>
      <c r="AE92">
        <v>3</v>
      </c>
      <c r="AF92">
        <v>4184</v>
      </c>
      <c r="AG92">
        <v>-1</v>
      </c>
      <c r="AH92">
        <v>-1</v>
      </c>
      <c r="AI92">
        <v>0</v>
      </c>
      <c r="AJ92">
        <v>1</v>
      </c>
      <c r="AK92" t="str">
        <f>VLOOKUP(AJ92, Lookups!$B$23:$C$28, 2, FALSE)</f>
        <v>Daylight</v>
      </c>
      <c r="AL92">
        <v>1</v>
      </c>
      <c r="AM92" t="str">
        <f>VLOOKUP(AL92, Lookups!$B$30:$C$39, 2, FALSE)</f>
        <v>Fine / Clear</v>
      </c>
      <c r="AN92">
        <v>1</v>
      </c>
      <c r="AO92" t="str">
        <f>VLOOKUP(AN92, Lookups!$B$41:$C$49, 2, FALSE)</f>
        <v>Dry</v>
      </c>
      <c r="AP92">
        <v>-1</v>
      </c>
      <c r="AQ92">
        <v>-1</v>
      </c>
      <c r="AR92">
        <v>0</v>
      </c>
      <c r="AS92">
        <v>1</v>
      </c>
      <c r="AT92">
        <v>1</v>
      </c>
      <c r="AU92">
        <v>2</v>
      </c>
      <c r="AV92" t="s">
        <v>67</v>
      </c>
      <c r="AW92">
        <v>3</v>
      </c>
      <c r="AX92">
        <v>1</v>
      </c>
      <c r="AY92">
        <v>0</v>
      </c>
      <c r="AZ92">
        <v>1</v>
      </c>
    </row>
    <row r="93" spans="1:52" x14ac:dyDescent="0.35">
      <c r="A93">
        <v>2025221592793</v>
      </c>
      <c r="B93">
        <v>2025</v>
      </c>
      <c r="C93">
        <v>221592793</v>
      </c>
      <c r="D93">
        <v>394434</v>
      </c>
      <c r="E93">
        <v>268456</v>
      </c>
      <c r="F93">
        <v>-2.0830700000000002</v>
      </c>
      <c r="G93">
        <v>52.31418</v>
      </c>
      <c r="H93">
        <v>22</v>
      </c>
      <c r="I93">
        <v>3</v>
      </c>
      <c r="J93" t="str">
        <f>VLOOKUP(I93, Lookups!$B$1:$C$4, 2, FALSE)</f>
        <v>Slight</v>
      </c>
      <c r="K93">
        <v>2</v>
      </c>
      <c r="L93">
        <v>1</v>
      </c>
      <c r="M93" s="1">
        <v>45797</v>
      </c>
      <c r="N93">
        <v>3</v>
      </c>
      <c r="O93" t="str">
        <f>VLOOKUP(N93, Lookups!$B$6:$C$12, 2, FALSE)</f>
        <v>Tuesday</v>
      </c>
      <c r="P93" s="2">
        <v>0.52777777777777779</v>
      </c>
      <c r="Q93">
        <v>-1</v>
      </c>
      <c r="R93" t="s">
        <v>47</v>
      </c>
      <c r="S93" t="s">
        <v>45</v>
      </c>
      <c r="T93" t="s">
        <v>45</v>
      </c>
      <c r="U93">
        <v>3</v>
      </c>
      <c r="V93" t="str">
        <f>VLOOKUP(U93, Lookups!$B$51:$C$57, 2, FALSE)</f>
        <v>A</v>
      </c>
      <c r="W93">
        <v>38</v>
      </c>
      <c r="X93" t="str">
        <f>V93&amp;W93</f>
        <v>A38</v>
      </c>
      <c r="Y93">
        <v>1</v>
      </c>
      <c r="Z93" t="str">
        <f>VLOOKUP(Y93, Lookups!$B$14:$C$21, 2, FALSE)</f>
        <v>Roundabout</v>
      </c>
      <c r="AA93">
        <v>40</v>
      </c>
      <c r="AB93">
        <v>-1</v>
      </c>
      <c r="AC93">
        <v>-1</v>
      </c>
      <c r="AD93">
        <v>4</v>
      </c>
      <c r="AE93">
        <v>3</v>
      </c>
      <c r="AF93">
        <v>38</v>
      </c>
      <c r="AG93">
        <v>-1</v>
      </c>
      <c r="AH93">
        <v>-1</v>
      </c>
      <c r="AI93">
        <v>0</v>
      </c>
      <c r="AJ93">
        <v>1</v>
      </c>
      <c r="AK93" t="str">
        <f>VLOOKUP(AJ93, Lookups!$B$23:$C$28, 2, FALSE)</f>
        <v>Daylight</v>
      </c>
      <c r="AL93">
        <v>1</v>
      </c>
      <c r="AM93" t="str">
        <f>VLOOKUP(AL93, Lookups!$B$30:$C$39, 2, FALSE)</f>
        <v>Fine / Clear</v>
      </c>
      <c r="AN93">
        <v>1</v>
      </c>
      <c r="AO93" t="str">
        <f>VLOOKUP(AN93, Lookups!$B$41:$C$49, 2, FALSE)</f>
        <v>Dry</v>
      </c>
      <c r="AP93">
        <v>-1</v>
      </c>
      <c r="AQ93">
        <v>-1</v>
      </c>
      <c r="AR93">
        <v>0</v>
      </c>
      <c r="AS93">
        <v>1</v>
      </c>
      <c r="AT93">
        <v>3</v>
      </c>
      <c r="AU93">
        <v>2</v>
      </c>
      <c r="AV93" t="s">
        <v>127</v>
      </c>
      <c r="AW93">
        <v>3</v>
      </c>
      <c r="AX93">
        <v>1</v>
      </c>
      <c r="AY93">
        <v>0</v>
      </c>
      <c r="AZ93">
        <v>1</v>
      </c>
    </row>
    <row r="94" spans="1:52" x14ac:dyDescent="0.35">
      <c r="A94">
        <v>2025221622713</v>
      </c>
      <c r="B94">
        <v>2025</v>
      </c>
      <c r="C94">
        <v>221622713</v>
      </c>
      <c r="D94">
        <v>407767</v>
      </c>
      <c r="E94">
        <v>278519</v>
      </c>
      <c r="F94">
        <v>-1.8872599999999999</v>
      </c>
      <c r="G94">
        <v>52.404629999999997</v>
      </c>
      <c r="H94">
        <v>22</v>
      </c>
      <c r="I94">
        <v>3</v>
      </c>
      <c r="J94" t="str">
        <f>VLOOKUP(I94, Lookups!$B$1:$C$4, 2, FALSE)</f>
        <v>Slight</v>
      </c>
      <c r="K94">
        <v>2</v>
      </c>
      <c r="L94">
        <v>1</v>
      </c>
      <c r="M94" s="1">
        <v>45843</v>
      </c>
      <c r="N94">
        <v>7</v>
      </c>
      <c r="O94" t="str">
        <f>VLOOKUP(N94, Lookups!$B$6:$C$12, 2, FALSE)</f>
        <v>Saturday</v>
      </c>
      <c r="P94" s="2">
        <v>0.4375</v>
      </c>
      <c r="Q94">
        <v>-1</v>
      </c>
      <c r="R94" t="s">
        <v>47</v>
      </c>
      <c r="S94" t="s">
        <v>45</v>
      </c>
      <c r="T94" t="s">
        <v>45</v>
      </c>
      <c r="U94">
        <v>6</v>
      </c>
      <c r="V94" t="str">
        <f>VLOOKUP(U94, Lookups!$B$51:$C$57, 2, FALSE)</f>
        <v>Unclassified</v>
      </c>
      <c r="W94">
        <v>0</v>
      </c>
      <c r="X94" t="s">
        <v>362</v>
      </c>
      <c r="Y94">
        <v>1</v>
      </c>
      <c r="Z94" t="str">
        <f>VLOOKUP(Y94, Lookups!$B$14:$C$21, 2, FALSE)</f>
        <v>Roundabout</v>
      </c>
      <c r="AA94">
        <v>30</v>
      </c>
      <c r="AB94">
        <v>-1</v>
      </c>
      <c r="AC94">
        <v>-1</v>
      </c>
      <c r="AD94">
        <v>4</v>
      </c>
      <c r="AE94">
        <v>3</v>
      </c>
      <c r="AF94">
        <v>435</v>
      </c>
      <c r="AG94">
        <v>-1</v>
      </c>
      <c r="AH94">
        <v>-1</v>
      </c>
      <c r="AI94">
        <v>0</v>
      </c>
      <c r="AJ94">
        <v>1</v>
      </c>
      <c r="AK94" t="str">
        <f>VLOOKUP(AJ94, Lookups!$B$23:$C$28, 2, FALSE)</f>
        <v>Daylight</v>
      </c>
      <c r="AL94">
        <v>1</v>
      </c>
      <c r="AM94" t="str">
        <f>VLOOKUP(AL94, Lookups!$B$30:$C$39, 2, FALSE)</f>
        <v>Fine / Clear</v>
      </c>
      <c r="AN94">
        <v>1</v>
      </c>
      <c r="AO94" t="str">
        <f>VLOOKUP(AN94, Lookups!$B$41:$C$49, 2, FALSE)</f>
        <v>Dry</v>
      </c>
      <c r="AP94">
        <v>-1</v>
      </c>
      <c r="AQ94">
        <v>-1</v>
      </c>
      <c r="AR94">
        <v>0</v>
      </c>
      <c r="AS94">
        <v>1</v>
      </c>
      <c r="AT94">
        <v>2</v>
      </c>
      <c r="AU94">
        <v>2</v>
      </c>
      <c r="AV94" t="s">
        <v>128</v>
      </c>
      <c r="AW94">
        <v>3</v>
      </c>
      <c r="AX94">
        <v>1</v>
      </c>
      <c r="AY94">
        <v>0</v>
      </c>
      <c r="AZ94">
        <v>1</v>
      </c>
    </row>
    <row r="95" spans="1:52" x14ac:dyDescent="0.35">
      <c r="A95">
        <v>2025221626135</v>
      </c>
      <c r="B95">
        <v>2025</v>
      </c>
      <c r="C95">
        <v>221626135</v>
      </c>
      <c r="D95">
        <v>379568</v>
      </c>
      <c r="E95">
        <v>254828</v>
      </c>
      <c r="F95">
        <v>-2.3003100000000001</v>
      </c>
      <c r="G95">
        <v>52.191310000000001</v>
      </c>
      <c r="H95">
        <v>22</v>
      </c>
      <c r="I95">
        <v>1</v>
      </c>
      <c r="J95" t="str">
        <f>VLOOKUP(I95, Lookups!$B$1:$C$4, 2, FALSE)</f>
        <v>Fatal</v>
      </c>
      <c r="K95">
        <v>3</v>
      </c>
      <c r="L95">
        <v>2</v>
      </c>
      <c r="M95" s="1">
        <v>45876</v>
      </c>
      <c r="N95">
        <v>5</v>
      </c>
      <c r="O95" t="str">
        <f>VLOOKUP(N95, Lookups!$B$6:$C$12, 2, FALSE)</f>
        <v>Thursday</v>
      </c>
      <c r="P95" s="2">
        <v>0.77986111111111112</v>
      </c>
      <c r="Q95">
        <v>-1</v>
      </c>
      <c r="R95" t="s">
        <v>49</v>
      </c>
      <c r="S95" t="s">
        <v>45</v>
      </c>
      <c r="T95" t="s">
        <v>45</v>
      </c>
      <c r="U95">
        <v>3</v>
      </c>
      <c r="V95" t="str">
        <f>VLOOKUP(U95, Lookups!$B$51:$C$57, 2, FALSE)</f>
        <v>A</v>
      </c>
      <c r="W95">
        <v>44</v>
      </c>
      <c r="X95" t="str">
        <f t="shared" ref="X95:X96" si="13">V95&amp;W95</f>
        <v>A44</v>
      </c>
      <c r="Y95">
        <v>6</v>
      </c>
      <c r="Z95" t="str">
        <f>VLOOKUP(Y95, Lookups!$B$14:$C$21, 2, FALSE)</f>
        <v>Single carriageway</v>
      </c>
      <c r="AA95">
        <v>60</v>
      </c>
      <c r="AB95">
        <v>-1</v>
      </c>
      <c r="AC95">
        <v>0</v>
      </c>
      <c r="AD95">
        <v>-1</v>
      </c>
      <c r="AE95">
        <v>0</v>
      </c>
      <c r="AF95">
        <v>-1</v>
      </c>
      <c r="AG95">
        <v>-1</v>
      </c>
      <c r="AH95">
        <v>-1</v>
      </c>
      <c r="AI95">
        <v>0</v>
      </c>
      <c r="AJ95">
        <v>1</v>
      </c>
      <c r="AK95" t="str">
        <f>VLOOKUP(AJ95, Lookups!$B$23:$C$28, 2, FALSE)</f>
        <v>Daylight</v>
      </c>
      <c r="AL95">
        <v>1</v>
      </c>
      <c r="AM95" t="str">
        <f>VLOOKUP(AL95, Lookups!$B$30:$C$39, 2, FALSE)</f>
        <v>Fine / Clear</v>
      </c>
      <c r="AN95">
        <v>1</v>
      </c>
      <c r="AO95" t="str">
        <f>VLOOKUP(AN95, Lookups!$B$41:$C$49, 2, FALSE)</f>
        <v>Dry</v>
      </c>
      <c r="AP95">
        <v>-1</v>
      </c>
      <c r="AQ95">
        <v>-1</v>
      </c>
      <c r="AR95">
        <v>0</v>
      </c>
      <c r="AS95">
        <v>2</v>
      </c>
      <c r="AT95">
        <v>1</v>
      </c>
      <c r="AU95">
        <v>2</v>
      </c>
      <c r="AV95" t="s">
        <v>129</v>
      </c>
      <c r="AW95">
        <v>1</v>
      </c>
      <c r="AX95">
        <v>1</v>
      </c>
      <c r="AY95">
        <v>0</v>
      </c>
      <c r="AZ95">
        <v>0</v>
      </c>
    </row>
    <row r="96" spans="1:52" x14ac:dyDescent="0.35">
      <c r="A96">
        <v>2025221640790</v>
      </c>
      <c r="B96">
        <v>2025</v>
      </c>
      <c r="C96">
        <v>221640790</v>
      </c>
      <c r="D96">
        <v>386954</v>
      </c>
      <c r="E96">
        <v>258244</v>
      </c>
      <c r="F96">
        <v>-2.1924000000000001</v>
      </c>
      <c r="G96">
        <v>52.222250000000003</v>
      </c>
      <c r="H96">
        <v>22</v>
      </c>
      <c r="I96">
        <v>3</v>
      </c>
      <c r="J96" t="str">
        <f>VLOOKUP(I96, Lookups!$B$1:$C$4, 2, FALSE)</f>
        <v>Slight</v>
      </c>
      <c r="K96">
        <v>2</v>
      </c>
      <c r="L96">
        <v>1</v>
      </c>
      <c r="M96" s="1">
        <v>45912</v>
      </c>
      <c r="N96">
        <v>6</v>
      </c>
      <c r="O96" t="str">
        <f>VLOOKUP(N96, Lookups!$B$6:$C$12, 2, FALSE)</f>
        <v>Friday</v>
      </c>
      <c r="P96" s="2">
        <v>0.2326388888888889</v>
      </c>
      <c r="Q96">
        <v>-1</v>
      </c>
      <c r="R96" t="s">
        <v>60</v>
      </c>
      <c r="S96" t="s">
        <v>45</v>
      </c>
      <c r="T96" t="s">
        <v>45</v>
      </c>
      <c r="U96">
        <v>3</v>
      </c>
      <c r="V96" t="str">
        <f>VLOOKUP(U96, Lookups!$B$51:$C$57, 2, FALSE)</f>
        <v>A</v>
      </c>
      <c r="W96">
        <v>449</v>
      </c>
      <c r="X96" t="str">
        <f t="shared" si="13"/>
        <v>A449</v>
      </c>
      <c r="Y96">
        <v>3</v>
      </c>
      <c r="Z96" t="str">
        <f>VLOOKUP(Y96, Lookups!$B$14:$C$21, 2, FALSE)</f>
        <v>Dual carriageway</v>
      </c>
      <c r="AA96">
        <v>70</v>
      </c>
      <c r="AB96">
        <v>-1</v>
      </c>
      <c r="AC96">
        <v>0</v>
      </c>
      <c r="AD96">
        <v>-1</v>
      </c>
      <c r="AE96">
        <v>0</v>
      </c>
      <c r="AF96">
        <v>-1</v>
      </c>
      <c r="AG96">
        <v>-1</v>
      </c>
      <c r="AH96">
        <v>-1</v>
      </c>
      <c r="AI96">
        <v>0</v>
      </c>
      <c r="AJ96">
        <v>6</v>
      </c>
      <c r="AK96" t="str">
        <f>VLOOKUP(AJ96, Lookups!$B$23:$C$28, 2, FALSE)</f>
        <v>Darkness (Unlit)</v>
      </c>
      <c r="AL96">
        <v>1</v>
      </c>
      <c r="AM96" t="str">
        <f>VLOOKUP(AL96, Lookups!$B$30:$C$39, 2, FALSE)</f>
        <v>Fine / Clear</v>
      </c>
      <c r="AN96">
        <v>2</v>
      </c>
      <c r="AO96" t="str">
        <f>VLOOKUP(AN96, Lookups!$B$41:$C$49, 2, FALSE)</f>
        <v>Wet / damp</v>
      </c>
      <c r="AP96">
        <v>-1</v>
      </c>
      <c r="AQ96">
        <v>-1</v>
      </c>
      <c r="AR96">
        <v>18</v>
      </c>
      <c r="AS96">
        <v>1</v>
      </c>
      <c r="AT96">
        <v>1</v>
      </c>
      <c r="AU96">
        <v>2</v>
      </c>
      <c r="AV96" t="s">
        <v>130</v>
      </c>
      <c r="AW96">
        <v>3</v>
      </c>
      <c r="AX96">
        <v>1</v>
      </c>
      <c r="AY96">
        <v>0</v>
      </c>
      <c r="AZ96">
        <v>1</v>
      </c>
    </row>
    <row r="97" spans="1:52" x14ac:dyDescent="0.35">
      <c r="A97">
        <v>2025221539316</v>
      </c>
      <c r="B97">
        <v>2025</v>
      </c>
      <c r="C97">
        <v>221539316</v>
      </c>
      <c r="D97">
        <v>401912</v>
      </c>
      <c r="E97">
        <v>271204</v>
      </c>
      <c r="F97">
        <v>-1.97336</v>
      </c>
      <c r="G97">
        <v>52.338909999999998</v>
      </c>
      <c r="H97">
        <v>22</v>
      </c>
      <c r="I97">
        <v>2</v>
      </c>
      <c r="J97" t="str">
        <f>VLOOKUP(I97, Lookups!$B$1:$C$4, 2, FALSE)</f>
        <v>Serious</v>
      </c>
      <c r="K97">
        <v>1</v>
      </c>
      <c r="L97">
        <v>1</v>
      </c>
      <c r="M97" s="1">
        <v>45664</v>
      </c>
      <c r="N97">
        <v>3</v>
      </c>
      <c r="O97" t="str">
        <f>VLOOKUP(N97, Lookups!$B$6:$C$12, 2, FALSE)</f>
        <v>Tuesday</v>
      </c>
      <c r="P97" s="2">
        <v>0.73958333333333337</v>
      </c>
      <c r="Q97">
        <v>-1</v>
      </c>
      <c r="R97" t="s">
        <v>47</v>
      </c>
      <c r="S97" t="s">
        <v>45</v>
      </c>
      <c r="T97" t="s">
        <v>45</v>
      </c>
      <c r="U97">
        <v>6</v>
      </c>
      <c r="V97" t="str">
        <f>VLOOKUP(U97, Lookups!$B$51:$C$57, 2, FALSE)</f>
        <v>Unclassified</v>
      </c>
      <c r="W97">
        <v>0</v>
      </c>
      <c r="X97" t="s">
        <v>362</v>
      </c>
      <c r="Y97">
        <v>6</v>
      </c>
      <c r="Z97" t="str">
        <f>VLOOKUP(Y97, Lookups!$B$14:$C$21, 2, FALSE)</f>
        <v>Single carriageway</v>
      </c>
      <c r="AA97">
        <v>30</v>
      </c>
      <c r="AB97">
        <v>-1</v>
      </c>
      <c r="AC97">
        <v>0</v>
      </c>
      <c r="AD97">
        <v>-1</v>
      </c>
      <c r="AE97">
        <v>0</v>
      </c>
      <c r="AF97">
        <v>-1</v>
      </c>
      <c r="AG97">
        <v>-1</v>
      </c>
      <c r="AH97">
        <v>-1</v>
      </c>
      <c r="AI97">
        <v>0</v>
      </c>
      <c r="AJ97">
        <v>6</v>
      </c>
      <c r="AK97" t="str">
        <f>VLOOKUP(AJ97, Lookups!$B$23:$C$28, 2, FALSE)</f>
        <v>Darkness (Unlit)</v>
      </c>
      <c r="AL97">
        <v>1</v>
      </c>
      <c r="AM97" t="str">
        <f>VLOOKUP(AL97, Lookups!$B$30:$C$39, 2, FALSE)</f>
        <v>Fine / Clear</v>
      </c>
      <c r="AN97">
        <v>4</v>
      </c>
      <c r="AO97" t="str">
        <f>VLOOKUP(AN97, Lookups!$B$41:$C$49, 2, FALSE)</f>
        <v>Frost or ice</v>
      </c>
      <c r="AP97">
        <v>-1</v>
      </c>
      <c r="AQ97">
        <v>-1</v>
      </c>
      <c r="AR97">
        <v>0</v>
      </c>
      <c r="AS97">
        <v>2</v>
      </c>
      <c r="AT97">
        <v>1</v>
      </c>
      <c r="AU97">
        <v>2</v>
      </c>
      <c r="AV97" t="s">
        <v>111</v>
      </c>
      <c r="AW97">
        <v>7</v>
      </c>
      <c r="AX97">
        <v>1</v>
      </c>
      <c r="AY97">
        <v>1</v>
      </c>
      <c r="AZ97">
        <v>0</v>
      </c>
    </row>
    <row r="98" spans="1:52" x14ac:dyDescent="0.35">
      <c r="A98">
        <v>2025221572057</v>
      </c>
      <c r="B98">
        <v>2025</v>
      </c>
      <c r="C98">
        <v>221572057</v>
      </c>
      <c r="D98">
        <v>382433</v>
      </c>
      <c r="E98">
        <v>275554</v>
      </c>
      <c r="F98">
        <v>-2.25949</v>
      </c>
      <c r="G98">
        <v>52.377740000000003</v>
      </c>
      <c r="H98">
        <v>22</v>
      </c>
      <c r="I98">
        <v>3</v>
      </c>
      <c r="J98" t="str">
        <f>VLOOKUP(I98, Lookups!$B$1:$C$4, 2, FALSE)</f>
        <v>Slight</v>
      </c>
      <c r="K98">
        <v>1</v>
      </c>
      <c r="L98">
        <v>1</v>
      </c>
      <c r="M98" s="1">
        <v>45743</v>
      </c>
      <c r="N98">
        <v>5</v>
      </c>
      <c r="O98" t="str">
        <f>VLOOKUP(N98, Lookups!$B$6:$C$12, 2, FALSE)</f>
        <v>Thursday</v>
      </c>
      <c r="P98" s="2">
        <v>0.50624999999999998</v>
      </c>
      <c r="Q98">
        <v>-1</v>
      </c>
      <c r="R98" t="s">
        <v>44</v>
      </c>
      <c r="S98" t="s">
        <v>45</v>
      </c>
      <c r="T98" t="s">
        <v>45</v>
      </c>
      <c r="U98">
        <v>3</v>
      </c>
      <c r="V98" t="str">
        <f>VLOOKUP(U98, Lookups!$B$51:$C$57, 2, FALSE)</f>
        <v>A</v>
      </c>
      <c r="W98">
        <v>4535</v>
      </c>
      <c r="X98" t="str">
        <f t="shared" ref="X98:X99" si="14">V98&amp;W98</f>
        <v>A4535</v>
      </c>
      <c r="Y98">
        <v>6</v>
      </c>
      <c r="Z98" t="str">
        <f>VLOOKUP(Y98, Lookups!$B$14:$C$21, 2, FALSE)</f>
        <v>Single carriageway</v>
      </c>
      <c r="AA98">
        <v>30</v>
      </c>
      <c r="AB98">
        <v>-1</v>
      </c>
      <c r="AC98">
        <v>13</v>
      </c>
      <c r="AD98">
        <v>2</v>
      </c>
      <c r="AE98">
        <v>3</v>
      </c>
      <c r="AF98">
        <v>451</v>
      </c>
      <c r="AG98">
        <v>-1</v>
      </c>
      <c r="AH98">
        <v>-1</v>
      </c>
      <c r="AI98">
        <v>17</v>
      </c>
      <c r="AJ98">
        <v>1</v>
      </c>
      <c r="AK98" t="str">
        <f>VLOOKUP(AJ98, Lookups!$B$23:$C$28, 2, FALSE)</f>
        <v>Daylight</v>
      </c>
      <c r="AL98">
        <v>1</v>
      </c>
      <c r="AM98" t="str">
        <f>VLOOKUP(AL98, Lookups!$B$30:$C$39, 2, FALSE)</f>
        <v>Fine / Clear</v>
      </c>
      <c r="AN98">
        <v>1</v>
      </c>
      <c r="AO98" t="str">
        <f>VLOOKUP(AN98, Lookups!$B$41:$C$49, 2, FALSE)</f>
        <v>Dry</v>
      </c>
      <c r="AP98">
        <v>-1</v>
      </c>
      <c r="AQ98">
        <v>-1</v>
      </c>
      <c r="AR98">
        <v>0</v>
      </c>
      <c r="AS98">
        <v>1</v>
      </c>
      <c r="AT98">
        <v>1</v>
      </c>
      <c r="AU98">
        <v>2</v>
      </c>
      <c r="AV98" t="s">
        <v>87</v>
      </c>
      <c r="AW98">
        <v>3</v>
      </c>
      <c r="AX98">
        <v>1</v>
      </c>
      <c r="AY98">
        <v>0</v>
      </c>
      <c r="AZ98">
        <v>1</v>
      </c>
    </row>
    <row r="99" spans="1:52" x14ac:dyDescent="0.35">
      <c r="A99">
        <v>2025221542117</v>
      </c>
      <c r="B99">
        <v>2025</v>
      </c>
      <c r="C99">
        <v>221542117</v>
      </c>
      <c r="D99">
        <v>391809</v>
      </c>
      <c r="E99">
        <v>265412</v>
      </c>
      <c r="F99">
        <v>-2.1215000000000002</v>
      </c>
      <c r="G99">
        <v>52.28678</v>
      </c>
      <c r="H99">
        <v>22</v>
      </c>
      <c r="I99">
        <v>2</v>
      </c>
      <c r="J99" t="str">
        <f>VLOOKUP(I99, Lookups!$B$1:$C$4, 2, FALSE)</f>
        <v>Serious</v>
      </c>
      <c r="K99">
        <v>2</v>
      </c>
      <c r="L99">
        <v>1</v>
      </c>
      <c r="M99" s="1">
        <v>45671</v>
      </c>
      <c r="N99">
        <v>3</v>
      </c>
      <c r="O99" t="str">
        <f>VLOOKUP(N99, Lookups!$B$6:$C$12, 2, FALSE)</f>
        <v>Tuesday</v>
      </c>
      <c r="P99" s="2">
        <v>0.67222222222222228</v>
      </c>
      <c r="Q99">
        <v>-1</v>
      </c>
      <c r="R99" t="s">
        <v>54</v>
      </c>
      <c r="S99" t="s">
        <v>45</v>
      </c>
      <c r="T99" t="s">
        <v>45</v>
      </c>
      <c r="U99">
        <v>3</v>
      </c>
      <c r="V99" t="str">
        <f>VLOOKUP(U99, Lookups!$B$51:$C$57, 2, FALSE)</f>
        <v>A</v>
      </c>
      <c r="W99">
        <v>38</v>
      </c>
      <c r="X99" t="str">
        <f t="shared" si="14"/>
        <v>A38</v>
      </c>
      <c r="Y99">
        <v>6</v>
      </c>
      <c r="Z99" t="str">
        <f>VLOOKUP(Y99, Lookups!$B$14:$C$21, 2, FALSE)</f>
        <v>Single carriageway</v>
      </c>
      <c r="AA99">
        <v>40</v>
      </c>
      <c r="AB99">
        <v>-1</v>
      </c>
      <c r="AC99">
        <v>-1</v>
      </c>
      <c r="AD99">
        <v>4</v>
      </c>
      <c r="AE99">
        <v>3</v>
      </c>
      <c r="AF99">
        <v>38</v>
      </c>
      <c r="AG99">
        <v>-1</v>
      </c>
      <c r="AH99">
        <v>-1</v>
      </c>
      <c r="AI99">
        <v>0</v>
      </c>
      <c r="AJ99">
        <v>1</v>
      </c>
      <c r="AK99" t="str">
        <f>VLOOKUP(AJ99, Lookups!$B$23:$C$28, 2, FALSE)</f>
        <v>Daylight</v>
      </c>
      <c r="AL99">
        <v>1</v>
      </c>
      <c r="AM99" t="str">
        <f>VLOOKUP(AL99, Lookups!$B$30:$C$39, 2, FALSE)</f>
        <v>Fine / Clear</v>
      </c>
      <c r="AN99">
        <v>1</v>
      </c>
      <c r="AO99" t="str">
        <f>VLOOKUP(AN99, Lookups!$B$41:$C$49, 2, FALSE)</f>
        <v>Dry</v>
      </c>
      <c r="AP99">
        <v>-1</v>
      </c>
      <c r="AQ99">
        <v>-1</v>
      </c>
      <c r="AR99">
        <v>0</v>
      </c>
      <c r="AS99">
        <v>2</v>
      </c>
      <c r="AT99">
        <v>1</v>
      </c>
      <c r="AU99">
        <v>1</v>
      </c>
      <c r="AV99" t="s">
        <v>131</v>
      </c>
      <c r="AW99">
        <v>7</v>
      </c>
      <c r="AX99">
        <v>1</v>
      </c>
      <c r="AY99">
        <v>1</v>
      </c>
      <c r="AZ99">
        <v>0</v>
      </c>
    </row>
    <row r="100" spans="1:52" x14ac:dyDescent="0.35">
      <c r="A100">
        <v>2025221641109</v>
      </c>
      <c r="B100">
        <v>2025</v>
      </c>
      <c r="C100">
        <v>221641109</v>
      </c>
      <c r="D100">
        <v>388499</v>
      </c>
      <c r="E100">
        <v>249629</v>
      </c>
      <c r="F100">
        <v>-2.1694800000000001</v>
      </c>
      <c r="G100">
        <v>52.144829999999999</v>
      </c>
      <c r="H100">
        <v>22</v>
      </c>
      <c r="I100">
        <v>3</v>
      </c>
      <c r="J100" t="str">
        <f>VLOOKUP(I100, Lookups!$B$1:$C$4, 2, FALSE)</f>
        <v>Slight</v>
      </c>
      <c r="K100">
        <v>1</v>
      </c>
      <c r="L100">
        <v>3</v>
      </c>
      <c r="M100" s="1">
        <v>45913</v>
      </c>
      <c r="N100">
        <v>7</v>
      </c>
      <c r="O100" t="str">
        <f>VLOOKUP(N100, Lookups!$B$6:$C$12, 2, FALSE)</f>
        <v>Saturday</v>
      </c>
      <c r="P100" s="2">
        <v>0.34791666666666665</v>
      </c>
      <c r="Q100">
        <v>-1</v>
      </c>
      <c r="R100" t="s">
        <v>54</v>
      </c>
      <c r="S100" t="s">
        <v>45</v>
      </c>
      <c r="T100" t="s">
        <v>45</v>
      </c>
      <c r="U100">
        <v>6</v>
      </c>
      <c r="V100" t="str">
        <f>VLOOKUP(U100, Lookups!$B$51:$C$57, 2, FALSE)</f>
        <v>Unclassified</v>
      </c>
      <c r="W100">
        <v>0</v>
      </c>
      <c r="X100" t="s">
        <v>362</v>
      </c>
      <c r="Y100">
        <v>6</v>
      </c>
      <c r="Z100" t="str">
        <f>VLOOKUP(Y100, Lookups!$B$14:$C$21, 2, FALSE)</f>
        <v>Single carriageway</v>
      </c>
      <c r="AA100">
        <v>60</v>
      </c>
      <c r="AB100">
        <v>-1</v>
      </c>
      <c r="AC100">
        <v>0</v>
      </c>
      <c r="AD100">
        <v>-1</v>
      </c>
      <c r="AE100">
        <v>0</v>
      </c>
      <c r="AF100">
        <v>-1</v>
      </c>
      <c r="AG100">
        <v>-1</v>
      </c>
      <c r="AH100">
        <v>-1</v>
      </c>
      <c r="AI100">
        <v>0</v>
      </c>
      <c r="AJ100">
        <v>1</v>
      </c>
      <c r="AK100" t="str">
        <f>VLOOKUP(AJ100, Lookups!$B$23:$C$28, 2, FALSE)</f>
        <v>Daylight</v>
      </c>
      <c r="AL100">
        <v>1</v>
      </c>
      <c r="AM100" t="str">
        <f>VLOOKUP(AL100, Lookups!$B$30:$C$39, 2, FALSE)</f>
        <v>Fine / Clear</v>
      </c>
      <c r="AN100">
        <v>1</v>
      </c>
      <c r="AO100" t="str">
        <f>VLOOKUP(AN100, Lookups!$B$41:$C$49, 2, FALSE)</f>
        <v>Dry</v>
      </c>
      <c r="AP100">
        <v>-1</v>
      </c>
      <c r="AQ100">
        <v>-1</v>
      </c>
      <c r="AR100">
        <v>0</v>
      </c>
      <c r="AS100">
        <v>2</v>
      </c>
      <c r="AT100">
        <v>1</v>
      </c>
      <c r="AU100">
        <v>2</v>
      </c>
      <c r="AV100" t="s">
        <v>132</v>
      </c>
      <c r="AW100">
        <v>3</v>
      </c>
      <c r="AX100">
        <v>1</v>
      </c>
      <c r="AY100">
        <v>0</v>
      </c>
      <c r="AZ100">
        <v>1</v>
      </c>
    </row>
    <row r="101" spans="1:52" x14ac:dyDescent="0.35">
      <c r="A101">
        <v>2025221661821</v>
      </c>
      <c r="B101">
        <v>2025</v>
      </c>
      <c r="C101">
        <v>221661821</v>
      </c>
      <c r="D101">
        <v>386815</v>
      </c>
      <c r="E101">
        <v>245701</v>
      </c>
      <c r="F101">
        <v>-2.19394</v>
      </c>
      <c r="G101">
        <v>52.109479999999998</v>
      </c>
      <c r="H101">
        <v>22</v>
      </c>
      <c r="I101">
        <v>2</v>
      </c>
      <c r="J101" t="str">
        <f>VLOOKUP(I101, Lookups!$B$1:$C$4, 2, FALSE)</f>
        <v>Serious</v>
      </c>
      <c r="K101">
        <v>4</v>
      </c>
      <c r="L101">
        <v>1</v>
      </c>
      <c r="M101" s="1">
        <v>45961</v>
      </c>
      <c r="N101">
        <v>6</v>
      </c>
      <c r="O101" t="str">
        <f>VLOOKUP(N101, Lookups!$B$6:$C$12, 2, FALSE)</f>
        <v>Friday</v>
      </c>
      <c r="P101" s="2">
        <v>0.47083333333333333</v>
      </c>
      <c r="Q101">
        <v>-1</v>
      </c>
      <c r="R101" t="s">
        <v>49</v>
      </c>
      <c r="S101" t="s">
        <v>45</v>
      </c>
      <c r="T101" t="s">
        <v>45</v>
      </c>
      <c r="U101">
        <v>1</v>
      </c>
      <c r="V101" t="str">
        <f>VLOOKUP(U101, Lookups!$B$51:$C$57, 2, FALSE)</f>
        <v>M</v>
      </c>
      <c r="W101">
        <v>5</v>
      </c>
      <c r="X101" t="str">
        <f>V101&amp;W101</f>
        <v>M5</v>
      </c>
      <c r="Y101">
        <v>3</v>
      </c>
      <c r="Z101" t="str">
        <f>VLOOKUP(Y101, Lookups!$B$14:$C$21, 2, FALSE)</f>
        <v>Dual carriageway</v>
      </c>
      <c r="AA101">
        <v>70</v>
      </c>
      <c r="AB101">
        <v>-1</v>
      </c>
      <c r="AC101">
        <v>0</v>
      </c>
      <c r="AD101">
        <v>-1</v>
      </c>
      <c r="AE101">
        <v>0</v>
      </c>
      <c r="AF101">
        <v>-1</v>
      </c>
      <c r="AG101">
        <v>-1</v>
      </c>
      <c r="AH101">
        <v>-1</v>
      </c>
      <c r="AI101">
        <v>0</v>
      </c>
      <c r="AJ101">
        <v>1</v>
      </c>
      <c r="AK101" t="str">
        <f>VLOOKUP(AJ101, Lookups!$B$23:$C$28, 2, FALSE)</f>
        <v>Daylight</v>
      </c>
      <c r="AL101">
        <v>1</v>
      </c>
      <c r="AM101" t="str">
        <f>VLOOKUP(AL101, Lookups!$B$30:$C$39, 2, FALSE)</f>
        <v>Fine / Clear</v>
      </c>
      <c r="AN101">
        <v>1</v>
      </c>
      <c r="AO101" t="str">
        <f>VLOOKUP(AN101, Lookups!$B$41:$C$49, 2, FALSE)</f>
        <v>Dry</v>
      </c>
      <c r="AP101">
        <v>-1</v>
      </c>
      <c r="AQ101">
        <v>-1</v>
      </c>
      <c r="AR101">
        <v>0</v>
      </c>
      <c r="AS101">
        <v>2</v>
      </c>
      <c r="AT101">
        <v>1</v>
      </c>
      <c r="AU101">
        <v>1</v>
      </c>
      <c r="AV101" t="s">
        <v>50</v>
      </c>
      <c r="AW101">
        <v>7</v>
      </c>
      <c r="AX101">
        <v>1</v>
      </c>
      <c r="AY101">
        <v>1</v>
      </c>
      <c r="AZ101">
        <v>0</v>
      </c>
    </row>
    <row r="102" spans="1:52" x14ac:dyDescent="0.35">
      <c r="A102">
        <v>2025221627017</v>
      </c>
      <c r="B102">
        <v>2025</v>
      </c>
      <c r="C102">
        <v>221627017</v>
      </c>
      <c r="D102">
        <v>397193</v>
      </c>
      <c r="E102">
        <v>271659</v>
      </c>
      <c r="F102">
        <v>-2.0426299999999999</v>
      </c>
      <c r="G102">
        <v>52.343000000000004</v>
      </c>
      <c r="H102">
        <v>22</v>
      </c>
      <c r="I102">
        <v>3</v>
      </c>
      <c r="J102" t="str">
        <f>VLOOKUP(I102, Lookups!$B$1:$C$4, 2, FALSE)</f>
        <v>Slight</v>
      </c>
      <c r="K102">
        <v>2</v>
      </c>
      <c r="L102">
        <v>4</v>
      </c>
      <c r="M102" s="1">
        <v>45879</v>
      </c>
      <c r="N102">
        <v>1</v>
      </c>
      <c r="O102" t="str">
        <f>VLOOKUP(N102, Lookups!$B$6:$C$12, 2, FALSE)</f>
        <v>Sunday</v>
      </c>
      <c r="P102" s="2">
        <v>0.50694444444444442</v>
      </c>
      <c r="Q102">
        <v>-1</v>
      </c>
      <c r="R102" t="s">
        <v>47</v>
      </c>
      <c r="S102" t="s">
        <v>45</v>
      </c>
      <c r="T102" t="s">
        <v>45</v>
      </c>
      <c r="U102">
        <v>6</v>
      </c>
      <c r="V102" t="str">
        <f>VLOOKUP(U102, Lookups!$B$51:$C$57, 2, FALSE)</f>
        <v>Unclassified</v>
      </c>
      <c r="W102">
        <v>0</v>
      </c>
      <c r="X102" t="s">
        <v>362</v>
      </c>
      <c r="Y102">
        <v>6</v>
      </c>
      <c r="Z102" t="str">
        <f>VLOOKUP(Y102, Lookups!$B$14:$C$21, 2, FALSE)</f>
        <v>Single carriageway</v>
      </c>
      <c r="AA102">
        <v>60</v>
      </c>
      <c r="AB102">
        <v>-1</v>
      </c>
      <c r="AC102">
        <v>0</v>
      </c>
      <c r="AD102">
        <v>-1</v>
      </c>
      <c r="AE102">
        <v>0</v>
      </c>
      <c r="AF102">
        <v>-1</v>
      </c>
      <c r="AG102">
        <v>-1</v>
      </c>
      <c r="AH102">
        <v>-1</v>
      </c>
      <c r="AI102">
        <v>0</v>
      </c>
      <c r="AJ102">
        <v>1</v>
      </c>
      <c r="AK102" t="str">
        <f>VLOOKUP(AJ102, Lookups!$B$23:$C$28, 2, FALSE)</f>
        <v>Daylight</v>
      </c>
      <c r="AL102">
        <v>1</v>
      </c>
      <c r="AM102" t="str">
        <f>VLOOKUP(AL102, Lookups!$B$30:$C$39, 2, FALSE)</f>
        <v>Fine / Clear</v>
      </c>
      <c r="AN102">
        <v>1</v>
      </c>
      <c r="AO102" t="str">
        <f>VLOOKUP(AN102, Lookups!$B$41:$C$49, 2, FALSE)</f>
        <v>Dry</v>
      </c>
      <c r="AP102">
        <v>-1</v>
      </c>
      <c r="AQ102">
        <v>-1</v>
      </c>
      <c r="AR102">
        <v>0</v>
      </c>
      <c r="AS102">
        <v>2</v>
      </c>
      <c r="AT102">
        <v>1</v>
      </c>
      <c r="AU102">
        <v>2</v>
      </c>
      <c r="AV102" t="s">
        <v>133</v>
      </c>
      <c r="AW102">
        <v>3</v>
      </c>
      <c r="AX102">
        <v>1</v>
      </c>
      <c r="AY102">
        <v>0</v>
      </c>
      <c r="AZ102">
        <v>1</v>
      </c>
    </row>
    <row r="103" spans="1:52" x14ac:dyDescent="0.35">
      <c r="A103">
        <v>2025221633977</v>
      </c>
      <c r="B103">
        <v>2025</v>
      </c>
      <c r="C103">
        <v>221633977</v>
      </c>
      <c r="D103">
        <v>400281</v>
      </c>
      <c r="E103">
        <v>268832</v>
      </c>
      <c r="F103">
        <v>-1.9973000000000001</v>
      </c>
      <c r="G103">
        <v>52.317590000000003</v>
      </c>
      <c r="H103">
        <v>22</v>
      </c>
      <c r="I103">
        <v>3</v>
      </c>
      <c r="J103" t="str">
        <f>VLOOKUP(I103, Lookups!$B$1:$C$4, 2, FALSE)</f>
        <v>Slight</v>
      </c>
      <c r="K103">
        <v>2</v>
      </c>
      <c r="L103">
        <v>1</v>
      </c>
      <c r="M103" s="1">
        <v>45896</v>
      </c>
      <c r="N103">
        <v>4</v>
      </c>
      <c r="O103" t="str">
        <f>VLOOKUP(N103, Lookups!$B$6:$C$12, 2, FALSE)</f>
        <v>Wednesday</v>
      </c>
      <c r="P103" s="2">
        <v>0.3125</v>
      </c>
      <c r="Q103">
        <v>-1</v>
      </c>
      <c r="R103" t="s">
        <v>47</v>
      </c>
      <c r="S103" t="s">
        <v>45</v>
      </c>
      <c r="T103" t="s">
        <v>45</v>
      </c>
      <c r="U103">
        <v>4</v>
      </c>
      <c r="V103" t="str">
        <f>VLOOKUP(U103, Lookups!$B$51:$C$57, 2, FALSE)</f>
        <v>B</v>
      </c>
      <c r="W103">
        <v>4096</v>
      </c>
      <c r="X103" t="str">
        <f t="shared" ref="X103:X107" si="15">V103&amp;W103</f>
        <v>B4096</v>
      </c>
      <c r="Y103">
        <v>6</v>
      </c>
      <c r="Z103" t="str">
        <f>VLOOKUP(Y103, Lookups!$B$14:$C$21, 2, FALSE)</f>
        <v>Single carriageway</v>
      </c>
      <c r="AA103">
        <v>60</v>
      </c>
      <c r="AB103">
        <v>-1</v>
      </c>
      <c r="AC103">
        <v>19</v>
      </c>
      <c r="AD103">
        <v>4</v>
      </c>
      <c r="AE103">
        <v>6</v>
      </c>
      <c r="AF103">
        <v>0</v>
      </c>
      <c r="AG103">
        <v>-1</v>
      </c>
      <c r="AH103">
        <v>-1</v>
      </c>
      <c r="AI103">
        <v>0</v>
      </c>
      <c r="AJ103">
        <v>1</v>
      </c>
      <c r="AK103" t="str">
        <f>VLOOKUP(AJ103, Lookups!$B$23:$C$28, 2, FALSE)</f>
        <v>Daylight</v>
      </c>
      <c r="AL103">
        <v>1</v>
      </c>
      <c r="AM103" t="str">
        <f>VLOOKUP(AL103, Lookups!$B$30:$C$39, 2, FALSE)</f>
        <v>Fine / Clear</v>
      </c>
      <c r="AN103">
        <v>1</v>
      </c>
      <c r="AO103" t="str">
        <f>VLOOKUP(AN103, Lookups!$B$41:$C$49, 2, FALSE)</f>
        <v>Dry</v>
      </c>
      <c r="AP103">
        <v>-1</v>
      </c>
      <c r="AQ103">
        <v>-1</v>
      </c>
      <c r="AR103">
        <v>0</v>
      </c>
      <c r="AS103">
        <v>2</v>
      </c>
      <c r="AT103">
        <v>1</v>
      </c>
      <c r="AU103">
        <v>2</v>
      </c>
      <c r="AV103" t="s">
        <v>56</v>
      </c>
      <c r="AW103">
        <v>3</v>
      </c>
      <c r="AX103">
        <v>1</v>
      </c>
      <c r="AY103">
        <v>0</v>
      </c>
      <c r="AZ103">
        <v>1</v>
      </c>
    </row>
    <row r="104" spans="1:52" x14ac:dyDescent="0.35">
      <c r="A104">
        <v>2025221675182</v>
      </c>
      <c r="B104">
        <v>2025</v>
      </c>
      <c r="C104">
        <v>221675182</v>
      </c>
      <c r="D104">
        <v>403231</v>
      </c>
      <c r="E104">
        <v>241487</v>
      </c>
      <c r="F104">
        <v>-1.95427</v>
      </c>
      <c r="G104">
        <v>52.071739999999998</v>
      </c>
      <c r="H104">
        <v>22</v>
      </c>
      <c r="I104">
        <v>3</v>
      </c>
      <c r="J104" t="str">
        <f>VLOOKUP(I104, Lookups!$B$1:$C$4, 2, FALSE)</f>
        <v>Slight</v>
      </c>
      <c r="K104">
        <v>2</v>
      </c>
      <c r="L104">
        <v>2</v>
      </c>
      <c r="M104" s="1">
        <v>45988</v>
      </c>
      <c r="N104">
        <v>5</v>
      </c>
      <c r="O104" t="str">
        <f>VLOOKUP(N104, Lookups!$B$6:$C$12, 2, FALSE)</f>
        <v>Thursday</v>
      </c>
      <c r="P104" s="2">
        <v>0.35347222222222224</v>
      </c>
      <c r="Q104">
        <v>-1</v>
      </c>
      <c r="R104" t="s">
        <v>54</v>
      </c>
      <c r="S104" t="s">
        <v>45</v>
      </c>
      <c r="T104" t="s">
        <v>45</v>
      </c>
      <c r="U104">
        <v>3</v>
      </c>
      <c r="V104" t="str">
        <f>VLOOKUP(U104, Lookups!$B$51:$C$57, 2, FALSE)</f>
        <v>A</v>
      </c>
      <c r="W104">
        <v>46</v>
      </c>
      <c r="X104" t="str">
        <f t="shared" si="15"/>
        <v>A46</v>
      </c>
      <c r="Y104">
        <v>6</v>
      </c>
      <c r="Z104" t="str">
        <f>VLOOKUP(Y104, Lookups!$B$14:$C$21, 2, FALSE)</f>
        <v>Single carriageway</v>
      </c>
      <c r="AA104">
        <v>40</v>
      </c>
      <c r="AB104">
        <v>-1</v>
      </c>
      <c r="AC104">
        <v>0</v>
      </c>
      <c r="AD104">
        <v>-1</v>
      </c>
      <c r="AE104">
        <v>0</v>
      </c>
      <c r="AF104">
        <v>-1</v>
      </c>
      <c r="AG104">
        <v>-1</v>
      </c>
      <c r="AH104">
        <v>-1</v>
      </c>
      <c r="AI104">
        <v>0</v>
      </c>
      <c r="AJ104">
        <v>1</v>
      </c>
      <c r="AK104" t="str">
        <f>VLOOKUP(AJ104, Lookups!$B$23:$C$28, 2, FALSE)</f>
        <v>Daylight</v>
      </c>
      <c r="AL104">
        <v>1</v>
      </c>
      <c r="AM104" t="str">
        <f>VLOOKUP(AL104, Lookups!$B$30:$C$39, 2, FALSE)</f>
        <v>Fine / Clear</v>
      </c>
      <c r="AN104">
        <v>2</v>
      </c>
      <c r="AO104" t="str">
        <f>VLOOKUP(AN104, Lookups!$B$41:$C$49, 2, FALSE)</f>
        <v>Wet / damp</v>
      </c>
      <c r="AP104">
        <v>-1</v>
      </c>
      <c r="AQ104">
        <v>-1</v>
      </c>
      <c r="AR104">
        <v>0</v>
      </c>
      <c r="AS104">
        <v>2</v>
      </c>
      <c r="AT104">
        <v>1</v>
      </c>
      <c r="AU104">
        <v>1</v>
      </c>
      <c r="AV104" t="s">
        <v>134</v>
      </c>
      <c r="AW104">
        <v>3</v>
      </c>
      <c r="AX104">
        <v>1</v>
      </c>
      <c r="AY104">
        <v>0</v>
      </c>
      <c r="AZ104">
        <v>1</v>
      </c>
    </row>
    <row r="105" spans="1:52" x14ac:dyDescent="0.35">
      <c r="A105">
        <v>2025221540616</v>
      </c>
      <c r="B105">
        <v>2025</v>
      </c>
      <c r="C105">
        <v>221540616</v>
      </c>
      <c r="D105">
        <v>383490</v>
      </c>
      <c r="E105">
        <v>251974</v>
      </c>
      <c r="F105">
        <v>-2.2427999999999999</v>
      </c>
      <c r="G105">
        <v>52.165779999999998</v>
      </c>
      <c r="H105">
        <v>22</v>
      </c>
      <c r="I105">
        <v>2</v>
      </c>
      <c r="J105" t="str">
        <f>VLOOKUP(I105, Lookups!$B$1:$C$4, 2, FALSE)</f>
        <v>Serious</v>
      </c>
      <c r="K105">
        <v>1</v>
      </c>
      <c r="L105">
        <v>1</v>
      </c>
      <c r="M105" s="1">
        <v>45669</v>
      </c>
      <c r="N105">
        <v>1</v>
      </c>
      <c r="O105" t="str">
        <f>VLOOKUP(N105, Lookups!$B$6:$C$12, 2, FALSE)</f>
        <v>Sunday</v>
      </c>
      <c r="P105" s="2">
        <v>0.68055555555555558</v>
      </c>
      <c r="Q105">
        <v>-1</v>
      </c>
      <c r="R105" t="s">
        <v>49</v>
      </c>
      <c r="S105" t="s">
        <v>45</v>
      </c>
      <c r="T105" t="s">
        <v>45</v>
      </c>
      <c r="U105">
        <v>3</v>
      </c>
      <c r="V105" t="str">
        <f>VLOOKUP(U105, Lookups!$B$51:$C$57, 2, FALSE)</f>
        <v>A</v>
      </c>
      <c r="W105">
        <v>449</v>
      </c>
      <c r="X105" t="str">
        <f t="shared" si="15"/>
        <v>A449</v>
      </c>
      <c r="Y105">
        <v>3</v>
      </c>
      <c r="Z105" t="str">
        <f>VLOOKUP(Y105, Lookups!$B$14:$C$21, 2, FALSE)</f>
        <v>Dual carriageway</v>
      </c>
      <c r="AA105">
        <v>40</v>
      </c>
      <c r="AB105">
        <v>-1</v>
      </c>
      <c r="AC105">
        <v>0</v>
      </c>
      <c r="AD105">
        <v>-1</v>
      </c>
      <c r="AE105">
        <v>0</v>
      </c>
      <c r="AF105">
        <v>-1</v>
      </c>
      <c r="AG105">
        <v>-1</v>
      </c>
      <c r="AH105">
        <v>-1</v>
      </c>
      <c r="AI105">
        <v>0</v>
      </c>
      <c r="AJ105">
        <v>1</v>
      </c>
      <c r="AK105" t="str">
        <f>VLOOKUP(AJ105, Lookups!$B$23:$C$28, 2, FALSE)</f>
        <v>Daylight</v>
      </c>
      <c r="AL105">
        <v>1</v>
      </c>
      <c r="AM105" t="str">
        <f>VLOOKUP(AL105, Lookups!$B$30:$C$39, 2, FALSE)</f>
        <v>Fine / Clear</v>
      </c>
      <c r="AN105">
        <v>2</v>
      </c>
      <c r="AO105" t="str">
        <f>VLOOKUP(AN105, Lookups!$B$41:$C$49, 2, FALSE)</f>
        <v>Wet / damp</v>
      </c>
      <c r="AP105">
        <v>-1</v>
      </c>
      <c r="AQ105">
        <v>-1</v>
      </c>
      <c r="AR105">
        <v>0</v>
      </c>
      <c r="AS105">
        <v>2</v>
      </c>
      <c r="AT105">
        <v>1</v>
      </c>
      <c r="AU105">
        <v>2</v>
      </c>
      <c r="AV105" t="s">
        <v>121</v>
      </c>
      <c r="AW105">
        <v>5</v>
      </c>
      <c r="AX105">
        <v>1</v>
      </c>
      <c r="AY105">
        <v>1</v>
      </c>
      <c r="AZ105">
        <v>0</v>
      </c>
    </row>
    <row r="106" spans="1:52" x14ac:dyDescent="0.35">
      <c r="A106">
        <v>2025221642203</v>
      </c>
      <c r="B106">
        <v>2025</v>
      </c>
      <c r="C106">
        <v>221642203</v>
      </c>
      <c r="D106">
        <v>380666</v>
      </c>
      <c r="E106">
        <v>276757</v>
      </c>
      <c r="F106">
        <v>-2.2855099999999999</v>
      </c>
      <c r="G106">
        <v>52.388489999999997</v>
      </c>
      <c r="H106">
        <v>22</v>
      </c>
      <c r="I106">
        <v>3</v>
      </c>
      <c r="J106" t="str">
        <f>VLOOKUP(I106, Lookups!$B$1:$C$4, 2, FALSE)</f>
        <v>Slight</v>
      </c>
      <c r="K106">
        <v>3</v>
      </c>
      <c r="L106">
        <v>1</v>
      </c>
      <c r="M106" s="1">
        <v>45904</v>
      </c>
      <c r="N106">
        <v>5</v>
      </c>
      <c r="O106" t="str">
        <f>VLOOKUP(N106, Lookups!$B$6:$C$12, 2, FALSE)</f>
        <v>Thursday</v>
      </c>
      <c r="P106" s="2">
        <v>0.70763888888888893</v>
      </c>
      <c r="Q106">
        <v>-1</v>
      </c>
      <c r="R106" t="s">
        <v>44</v>
      </c>
      <c r="S106" t="s">
        <v>45</v>
      </c>
      <c r="T106" t="s">
        <v>45</v>
      </c>
      <c r="U106">
        <v>4</v>
      </c>
      <c r="V106" t="str">
        <f>VLOOKUP(U106, Lookups!$B$51:$C$57, 2, FALSE)</f>
        <v>B</v>
      </c>
      <c r="W106">
        <v>4190</v>
      </c>
      <c r="X106" t="str">
        <f t="shared" si="15"/>
        <v>B4190</v>
      </c>
      <c r="Y106">
        <v>6</v>
      </c>
      <c r="Z106" t="str">
        <f>VLOOKUP(Y106, Lookups!$B$14:$C$21, 2, FALSE)</f>
        <v>Single carriageway</v>
      </c>
      <c r="AA106">
        <v>60</v>
      </c>
      <c r="AB106">
        <v>-1</v>
      </c>
      <c r="AC106">
        <v>0</v>
      </c>
      <c r="AD106">
        <v>-1</v>
      </c>
      <c r="AE106">
        <v>6</v>
      </c>
      <c r="AF106">
        <v>0</v>
      </c>
      <c r="AG106">
        <v>-1</v>
      </c>
      <c r="AH106">
        <v>-1</v>
      </c>
      <c r="AI106">
        <v>0</v>
      </c>
      <c r="AJ106">
        <v>1</v>
      </c>
      <c r="AK106" t="str">
        <f>VLOOKUP(AJ106, Lookups!$B$23:$C$28, 2, FALSE)</f>
        <v>Daylight</v>
      </c>
      <c r="AL106">
        <v>1</v>
      </c>
      <c r="AM106" t="str">
        <f>VLOOKUP(AL106, Lookups!$B$30:$C$39, 2, FALSE)</f>
        <v>Fine / Clear</v>
      </c>
      <c r="AN106">
        <v>1</v>
      </c>
      <c r="AO106" t="str">
        <f>VLOOKUP(AN106, Lookups!$B$41:$C$49, 2, FALSE)</f>
        <v>Dry</v>
      </c>
      <c r="AP106">
        <v>-1</v>
      </c>
      <c r="AQ106">
        <v>-1</v>
      </c>
      <c r="AR106">
        <v>0</v>
      </c>
      <c r="AS106">
        <v>2</v>
      </c>
      <c r="AT106">
        <v>1</v>
      </c>
      <c r="AU106">
        <v>2</v>
      </c>
      <c r="AV106" t="s">
        <v>135</v>
      </c>
      <c r="AW106">
        <v>3</v>
      </c>
      <c r="AX106">
        <v>1</v>
      </c>
      <c r="AY106">
        <v>0</v>
      </c>
      <c r="AZ106">
        <v>1</v>
      </c>
    </row>
    <row r="107" spans="1:52" x14ac:dyDescent="0.35">
      <c r="A107">
        <v>2025221609512</v>
      </c>
      <c r="B107">
        <v>2025</v>
      </c>
      <c r="C107">
        <v>221609512</v>
      </c>
      <c r="D107">
        <v>399568</v>
      </c>
      <c r="E107">
        <v>275827</v>
      </c>
      <c r="F107">
        <v>-2.0077699999999998</v>
      </c>
      <c r="G107">
        <v>52.380479999999999</v>
      </c>
      <c r="H107">
        <v>22</v>
      </c>
      <c r="I107">
        <v>3</v>
      </c>
      <c r="J107" t="str">
        <f>VLOOKUP(I107, Lookups!$B$1:$C$4, 2, FALSE)</f>
        <v>Slight</v>
      </c>
      <c r="K107">
        <v>2</v>
      </c>
      <c r="L107">
        <v>1</v>
      </c>
      <c r="M107" s="1">
        <v>45734</v>
      </c>
      <c r="N107">
        <v>3</v>
      </c>
      <c r="O107" t="str">
        <f>VLOOKUP(N107, Lookups!$B$6:$C$12, 2, FALSE)</f>
        <v>Tuesday</v>
      </c>
      <c r="P107" s="2">
        <v>0.73819444444444449</v>
      </c>
      <c r="Q107">
        <v>-1</v>
      </c>
      <c r="R107" t="s">
        <v>47</v>
      </c>
      <c r="S107" t="s">
        <v>45</v>
      </c>
      <c r="T107" t="s">
        <v>45</v>
      </c>
      <c r="U107">
        <v>4</v>
      </c>
      <c r="V107" t="str">
        <f>VLOOKUP(U107, Lookups!$B$51:$C$57, 2, FALSE)</f>
        <v>B</v>
      </c>
      <c r="W107">
        <v>4096</v>
      </c>
      <c r="X107" t="str">
        <f t="shared" si="15"/>
        <v>B4096</v>
      </c>
      <c r="Y107">
        <v>6</v>
      </c>
      <c r="Z107" t="str">
        <f>VLOOKUP(Y107, Lookups!$B$14:$C$21, 2, FALSE)</f>
        <v>Single carriageway</v>
      </c>
      <c r="AA107">
        <v>40</v>
      </c>
      <c r="AB107">
        <v>-1</v>
      </c>
      <c r="AC107">
        <v>0</v>
      </c>
      <c r="AD107">
        <v>-1</v>
      </c>
      <c r="AE107">
        <v>0</v>
      </c>
      <c r="AF107">
        <v>-1</v>
      </c>
      <c r="AG107">
        <v>-1</v>
      </c>
      <c r="AH107">
        <v>-1</v>
      </c>
      <c r="AI107">
        <v>0</v>
      </c>
      <c r="AJ107">
        <v>1</v>
      </c>
      <c r="AK107" t="str">
        <f>VLOOKUP(AJ107, Lookups!$B$23:$C$28, 2, FALSE)</f>
        <v>Daylight</v>
      </c>
      <c r="AL107">
        <v>2</v>
      </c>
      <c r="AM107" t="str">
        <f>VLOOKUP(AL107, Lookups!$B$30:$C$39, 2, FALSE)</f>
        <v>Rain</v>
      </c>
      <c r="AN107">
        <v>2</v>
      </c>
      <c r="AO107" t="str">
        <f>VLOOKUP(AN107, Lookups!$B$41:$C$49, 2, FALSE)</f>
        <v>Wet / damp</v>
      </c>
      <c r="AP107">
        <v>-1</v>
      </c>
      <c r="AQ107">
        <v>-1</v>
      </c>
      <c r="AR107">
        <v>0</v>
      </c>
      <c r="AS107">
        <v>2</v>
      </c>
      <c r="AT107">
        <v>1</v>
      </c>
      <c r="AU107">
        <v>2</v>
      </c>
      <c r="AV107" t="s">
        <v>136</v>
      </c>
      <c r="AW107">
        <v>3</v>
      </c>
      <c r="AX107">
        <v>1</v>
      </c>
      <c r="AY107">
        <v>0</v>
      </c>
      <c r="AZ107">
        <v>1</v>
      </c>
    </row>
    <row r="108" spans="1:52" x14ac:dyDescent="0.35">
      <c r="A108">
        <v>2025221628225</v>
      </c>
      <c r="B108">
        <v>2025</v>
      </c>
      <c r="C108">
        <v>221628225</v>
      </c>
      <c r="D108">
        <v>384766</v>
      </c>
      <c r="E108">
        <v>277619</v>
      </c>
      <c r="F108">
        <v>-2.2253099999999999</v>
      </c>
      <c r="G108">
        <v>52.396369999999997</v>
      </c>
      <c r="H108">
        <v>22</v>
      </c>
      <c r="I108">
        <v>3</v>
      </c>
      <c r="J108" t="str">
        <f>VLOOKUP(I108, Lookups!$B$1:$C$4, 2, FALSE)</f>
        <v>Slight</v>
      </c>
      <c r="K108">
        <v>2</v>
      </c>
      <c r="L108">
        <v>1</v>
      </c>
      <c r="M108" s="1">
        <v>45882</v>
      </c>
      <c r="N108">
        <v>4</v>
      </c>
      <c r="O108" t="str">
        <f>VLOOKUP(N108, Lookups!$B$6:$C$12, 2, FALSE)</f>
        <v>Wednesday</v>
      </c>
      <c r="P108" s="2">
        <v>0.33680555555555558</v>
      </c>
      <c r="Q108">
        <v>-1</v>
      </c>
      <c r="R108" t="s">
        <v>44</v>
      </c>
      <c r="S108" t="s">
        <v>45</v>
      </c>
      <c r="T108" t="s">
        <v>45</v>
      </c>
      <c r="U108">
        <v>6</v>
      </c>
      <c r="V108" t="str">
        <f>VLOOKUP(U108, Lookups!$B$51:$C$57, 2, FALSE)</f>
        <v>Unclassified</v>
      </c>
      <c r="W108">
        <v>0</v>
      </c>
      <c r="X108" t="s">
        <v>362</v>
      </c>
      <c r="Y108">
        <v>6</v>
      </c>
      <c r="Z108" t="str">
        <f>VLOOKUP(Y108, Lookups!$B$14:$C$21, 2, FALSE)</f>
        <v>Single carriageway</v>
      </c>
      <c r="AA108">
        <v>60</v>
      </c>
      <c r="AB108">
        <v>-1</v>
      </c>
      <c r="AC108">
        <v>0</v>
      </c>
      <c r="AD108">
        <v>-1</v>
      </c>
      <c r="AE108">
        <v>0</v>
      </c>
      <c r="AF108">
        <v>-1</v>
      </c>
      <c r="AG108">
        <v>-1</v>
      </c>
      <c r="AH108">
        <v>-1</v>
      </c>
      <c r="AI108">
        <v>0</v>
      </c>
      <c r="AJ108">
        <v>1</v>
      </c>
      <c r="AK108" t="str">
        <f>VLOOKUP(AJ108, Lookups!$B$23:$C$28, 2, FALSE)</f>
        <v>Daylight</v>
      </c>
      <c r="AL108">
        <v>1</v>
      </c>
      <c r="AM108" t="str">
        <f>VLOOKUP(AL108, Lookups!$B$30:$C$39, 2, FALSE)</f>
        <v>Fine / Clear</v>
      </c>
      <c r="AN108">
        <v>1</v>
      </c>
      <c r="AO108" t="str">
        <f>VLOOKUP(AN108, Lookups!$B$41:$C$49, 2, FALSE)</f>
        <v>Dry</v>
      </c>
      <c r="AP108">
        <v>-1</v>
      </c>
      <c r="AQ108">
        <v>-1</v>
      </c>
      <c r="AR108">
        <v>0</v>
      </c>
      <c r="AS108">
        <v>2</v>
      </c>
      <c r="AT108">
        <v>1</v>
      </c>
      <c r="AU108">
        <v>2</v>
      </c>
      <c r="AV108" t="s">
        <v>137</v>
      </c>
      <c r="AW108">
        <v>3</v>
      </c>
      <c r="AX108">
        <v>1</v>
      </c>
      <c r="AY108">
        <v>0</v>
      </c>
      <c r="AZ108">
        <v>1</v>
      </c>
    </row>
    <row r="109" spans="1:52" x14ac:dyDescent="0.35">
      <c r="A109">
        <v>2025221675193</v>
      </c>
      <c r="B109">
        <v>2025</v>
      </c>
      <c r="C109">
        <v>221675193</v>
      </c>
      <c r="D109">
        <v>403890</v>
      </c>
      <c r="E109">
        <v>244760</v>
      </c>
      <c r="F109">
        <v>-1.94462</v>
      </c>
      <c r="G109">
        <v>52.10116</v>
      </c>
      <c r="H109">
        <v>22</v>
      </c>
      <c r="I109">
        <v>3</v>
      </c>
      <c r="J109" t="str">
        <f>VLOOKUP(I109, Lookups!$B$1:$C$4, 2, FALSE)</f>
        <v>Slight</v>
      </c>
      <c r="K109">
        <v>3</v>
      </c>
      <c r="L109">
        <v>1</v>
      </c>
      <c r="M109" s="1">
        <v>45989</v>
      </c>
      <c r="N109">
        <v>6</v>
      </c>
      <c r="O109" t="str">
        <f>VLOOKUP(N109, Lookups!$B$6:$C$12, 2, FALSE)</f>
        <v>Friday</v>
      </c>
      <c r="P109" s="2">
        <v>0.52430555555555558</v>
      </c>
      <c r="Q109">
        <v>-1</v>
      </c>
      <c r="R109" t="s">
        <v>54</v>
      </c>
      <c r="S109" t="s">
        <v>45</v>
      </c>
      <c r="T109" t="s">
        <v>45</v>
      </c>
      <c r="U109">
        <v>3</v>
      </c>
      <c r="V109" t="str">
        <f>VLOOKUP(U109, Lookups!$B$51:$C$57, 2, FALSE)</f>
        <v>A</v>
      </c>
      <c r="W109">
        <v>4184</v>
      </c>
      <c r="X109" t="str">
        <f t="shared" ref="X109:X115" si="16">V109&amp;W109</f>
        <v>A4184</v>
      </c>
      <c r="Y109">
        <v>6</v>
      </c>
      <c r="Z109" t="str">
        <f>VLOOKUP(Y109, Lookups!$B$14:$C$21, 2, FALSE)</f>
        <v>Single carriageway</v>
      </c>
      <c r="AA109">
        <v>30</v>
      </c>
      <c r="AB109">
        <v>-1</v>
      </c>
      <c r="AC109">
        <v>13</v>
      </c>
      <c r="AD109">
        <v>4</v>
      </c>
      <c r="AE109">
        <v>6</v>
      </c>
      <c r="AF109">
        <v>0</v>
      </c>
      <c r="AG109">
        <v>-1</v>
      </c>
      <c r="AH109">
        <v>-1</v>
      </c>
      <c r="AI109">
        <v>0</v>
      </c>
      <c r="AJ109">
        <v>1</v>
      </c>
      <c r="AK109" t="str">
        <f>VLOOKUP(AJ109, Lookups!$B$23:$C$28, 2, FALSE)</f>
        <v>Daylight</v>
      </c>
      <c r="AL109">
        <v>4</v>
      </c>
      <c r="AM109" t="str">
        <f>VLOOKUP(AL109, Lookups!$B$30:$C$39, 2, FALSE)</f>
        <v>High Winds</v>
      </c>
      <c r="AN109">
        <v>2</v>
      </c>
      <c r="AO109" t="str">
        <f>VLOOKUP(AN109, Lookups!$B$41:$C$49, 2, FALSE)</f>
        <v>Wet / damp</v>
      </c>
      <c r="AP109">
        <v>-1</v>
      </c>
      <c r="AQ109">
        <v>-1</v>
      </c>
      <c r="AR109">
        <v>0</v>
      </c>
      <c r="AS109">
        <v>1</v>
      </c>
      <c r="AT109">
        <v>1</v>
      </c>
      <c r="AU109">
        <v>2</v>
      </c>
      <c r="AV109" t="s">
        <v>138</v>
      </c>
      <c r="AW109">
        <v>3</v>
      </c>
      <c r="AX109">
        <v>1</v>
      </c>
      <c r="AY109">
        <v>0</v>
      </c>
      <c r="AZ109">
        <v>1</v>
      </c>
    </row>
    <row r="110" spans="1:52" x14ac:dyDescent="0.35">
      <c r="A110">
        <v>2025221557918</v>
      </c>
      <c r="B110">
        <v>2025</v>
      </c>
      <c r="C110">
        <v>221557918</v>
      </c>
      <c r="D110">
        <v>383006</v>
      </c>
      <c r="E110">
        <v>275746</v>
      </c>
      <c r="F110">
        <v>-2.25108</v>
      </c>
      <c r="G110">
        <v>52.379480000000001</v>
      </c>
      <c r="H110">
        <v>22</v>
      </c>
      <c r="I110">
        <v>3</v>
      </c>
      <c r="J110" t="str">
        <f>VLOOKUP(I110, Lookups!$B$1:$C$4, 2, FALSE)</f>
        <v>Slight</v>
      </c>
      <c r="K110">
        <v>2</v>
      </c>
      <c r="L110">
        <v>1</v>
      </c>
      <c r="M110" s="1">
        <v>45689</v>
      </c>
      <c r="N110">
        <v>7</v>
      </c>
      <c r="O110" t="str">
        <f>VLOOKUP(N110, Lookups!$B$6:$C$12, 2, FALSE)</f>
        <v>Saturday</v>
      </c>
      <c r="P110" s="2">
        <v>0.54166666666666663</v>
      </c>
      <c r="Q110">
        <v>-1</v>
      </c>
      <c r="R110" t="s">
        <v>44</v>
      </c>
      <c r="S110" t="s">
        <v>45</v>
      </c>
      <c r="T110" t="s">
        <v>45</v>
      </c>
      <c r="U110">
        <v>3</v>
      </c>
      <c r="V110" t="str">
        <f>VLOOKUP(U110, Lookups!$B$51:$C$57, 2, FALSE)</f>
        <v>A</v>
      </c>
      <c r="W110">
        <v>442</v>
      </c>
      <c r="X110" t="str">
        <f t="shared" si="16"/>
        <v>A442</v>
      </c>
      <c r="Y110">
        <v>3</v>
      </c>
      <c r="Z110" t="str">
        <f>VLOOKUP(Y110, Lookups!$B$14:$C$21, 2, FALSE)</f>
        <v>Dual carriageway</v>
      </c>
      <c r="AA110">
        <v>40</v>
      </c>
      <c r="AB110">
        <v>-1</v>
      </c>
      <c r="AC110">
        <v>-1</v>
      </c>
      <c r="AD110">
        <v>4</v>
      </c>
      <c r="AE110">
        <v>3</v>
      </c>
      <c r="AF110">
        <v>451</v>
      </c>
      <c r="AG110">
        <v>-1</v>
      </c>
      <c r="AH110">
        <v>-1</v>
      </c>
      <c r="AI110">
        <v>0</v>
      </c>
      <c r="AJ110">
        <v>1</v>
      </c>
      <c r="AK110" t="str">
        <f>VLOOKUP(AJ110, Lookups!$B$23:$C$28, 2, FALSE)</f>
        <v>Daylight</v>
      </c>
      <c r="AL110">
        <v>1</v>
      </c>
      <c r="AM110" t="str">
        <f>VLOOKUP(AL110, Lookups!$B$30:$C$39, 2, FALSE)</f>
        <v>Fine / Clear</v>
      </c>
      <c r="AN110">
        <v>2</v>
      </c>
      <c r="AO110" t="str">
        <f>VLOOKUP(AN110, Lookups!$B$41:$C$49, 2, FALSE)</f>
        <v>Wet / damp</v>
      </c>
      <c r="AP110">
        <v>-1</v>
      </c>
      <c r="AQ110">
        <v>-1</v>
      </c>
      <c r="AR110">
        <v>0</v>
      </c>
      <c r="AS110">
        <v>1</v>
      </c>
      <c r="AT110">
        <v>1</v>
      </c>
      <c r="AU110">
        <v>2</v>
      </c>
      <c r="AV110" t="s">
        <v>100</v>
      </c>
      <c r="AW110">
        <v>3</v>
      </c>
      <c r="AX110">
        <v>1</v>
      </c>
      <c r="AY110">
        <v>0</v>
      </c>
      <c r="AZ110">
        <v>1</v>
      </c>
    </row>
    <row r="111" spans="1:52" x14ac:dyDescent="0.35">
      <c r="A111">
        <v>2025221684669</v>
      </c>
      <c r="B111">
        <v>2025</v>
      </c>
      <c r="C111">
        <v>221684669</v>
      </c>
      <c r="D111">
        <v>380733</v>
      </c>
      <c r="E111">
        <v>270943</v>
      </c>
      <c r="F111">
        <v>-2.2841900000000002</v>
      </c>
      <c r="G111">
        <v>52.33623</v>
      </c>
      <c r="H111">
        <v>22</v>
      </c>
      <c r="I111">
        <v>3</v>
      </c>
      <c r="J111" t="str">
        <f>VLOOKUP(I111, Lookups!$B$1:$C$4, 2, FALSE)</f>
        <v>Slight</v>
      </c>
      <c r="K111">
        <v>1</v>
      </c>
      <c r="L111">
        <v>1</v>
      </c>
      <c r="M111" s="1">
        <v>45996</v>
      </c>
      <c r="N111">
        <v>6</v>
      </c>
      <c r="O111" t="str">
        <f>VLOOKUP(N111, Lookups!$B$6:$C$12, 2, FALSE)</f>
        <v>Friday</v>
      </c>
      <c r="P111" s="2">
        <v>0.67361111111111116</v>
      </c>
      <c r="Q111">
        <v>-1</v>
      </c>
      <c r="R111" t="s">
        <v>44</v>
      </c>
      <c r="S111" t="s">
        <v>45</v>
      </c>
      <c r="T111" t="s">
        <v>45</v>
      </c>
      <c r="U111">
        <v>3</v>
      </c>
      <c r="V111" t="str">
        <f>VLOOKUP(U111, Lookups!$B$51:$C$57, 2, FALSE)</f>
        <v>A</v>
      </c>
      <c r="W111">
        <v>451</v>
      </c>
      <c r="X111" t="str">
        <f t="shared" si="16"/>
        <v>A451</v>
      </c>
      <c r="Y111">
        <v>6</v>
      </c>
      <c r="Z111" t="str">
        <f>VLOOKUP(Y111, Lookups!$B$14:$C$21, 2, FALSE)</f>
        <v>Single carriageway</v>
      </c>
      <c r="AA111">
        <v>30</v>
      </c>
      <c r="AB111">
        <v>-1</v>
      </c>
      <c r="AC111">
        <v>0</v>
      </c>
      <c r="AD111">
        <v>-1</v>
      </c>
      <c r="AE111">
        <v>0</v>
      </c>
      <c r="AF111">
        <v>-1</v>
      </c>
      <c r="AG111">
        <v>-1</v>
      </c>
      <c r="AH111">
        <v>-1</v>
      </c>
      <c r="AI111">
        <v>14</v>
      </c>
      <c r="AJ111">
        <v>4</v>
      </c>
      <c r="AK111" t="str">
        <f>VLOOKUP(AJ111, Lookups!$B$23:$C$28, 2, FALSE)</f>
        <v>Darkness (Lit)</v>
      </c>
      <c r="AL111">
        <v>2</v>
      </c>
      <c r="AM111" t="str">
        <f>VLOOKUP(AL111, Lookups!$B$30:$C$39, 2, FALSE)</f>
        <v>Rain</v>
      </c>
      <c r="AN111">
        <v>2</v>
      </c>
      <c r="AO111" t="str">
        <f>VLOOKUP(AN111, Lookups!$B$41:$C$49, 2, FALSE)</f>
        <v>Wet / damp</v>
      </c>
      <c r="AP111">
        <v>-1</v>
      </c>
      <c r="AQ111">
        <v>-1</v>
      </c>
      <c r="AR111">
        <v>0</v>
      </c>
      <c r="AS111">
        <v>1</v>
      </c>
      <c r="AT111">
        <v>1</v>
      </c>
      <c r="AU111">
        <v>2</v>
      </c>
      <c r="AV111" t="s">
        <v>139</v>
      </c>
      <c r="AW111">
        <v>3</v>
      </c>
      <c r="AX111">
        <v>1</v>
      </c>
      <c r="AY111">
        <v>0</v>
      </c>
      <c r="AZ111">
        <v>1</v>
      </c>
    </row>
    <row r="112" spans="1:52" x14ac:dyDescent="0.35">
      <c r="A112">
        <v>2025221635862</v>
      </c>
      <c r="B112">
        <v>2025</v>
      </c>
      <c r="C112">
        <v>221635862</v>
      </c>
      <c r="D112">
        <v>376618</v>
      </c>
      <c r="E112">
        <v>259836</v>
      </c>
      <c r="F112">
        <v>-2.3438099999999999</v>
      </c>
      <c r="G112">
        <v>52.23621</v>
      </c>
      <c r="H112">
        <v>22</v>
      </c>
      <c r="I112">
        <v>2</v>
      </c>
      <c r="J112" t="str">
        <f>VLOOKUP(I112, Lookups!$B$1:$C$4, 2, FALSE)</f>
        <v>Serious</v>
      </c>
      <c r="K112">
        <v>1</v>
      </c>
      <c r="L112">
        <v>1</v>
      </c>
      <c r="M112" s="1">
        <v>45901</v>
      </c>
      <c r="N112">
        <v>2</v>
      </c>
      <c r="O112" t="str">
        <f>VLOOKUP(N112, Lookups!$B$6:$C$12, 2, FALSE)</f>
        <v>Monday</v>
      </c>
      <c r="P112" s="2">
        <v>0.51249999999999996</v>
      </c>
      <c r="Q112">
        <v>-1</v>
      </c>
      <c r="R112" t="s">
        <v>49</v>
      </c>
      <c r="S112" t="s">
        <v>45</v>
      </c>
      <c r="T112" t="s">
        <v>45</v>
      </c>
      <c r="U112">
        <v>4</v>
      </c>
      <c r="V112" t="str">
        <f>VLOOKUP(U112, Lookups!$B$51:$C$57, 2, FALSE)</f>
        <v>B</v>
      </c>
      <c r="W112">
        <v>4204</v>
      </c>
      <c r="X112" t="str">
        <f t="shared" si="16"/>
        <v>B4204</v>
      </c>
      <c r="Y112">
        <v>6</v>
      </c>
      <c r="Z112" t="str">
        <f>VLOOKUP(Y112, Lookups!$B$14:$C$21, 2, FALSE)</f>
        <v>Single carriageway</v>
      </c>
      <c r="AA112">
        <v>60</v>
      </c>
      <c r="AB112">
        <v>-1</v>
      </c>
      <c r="AC112">
        <v>0</v>
      </c>
      <c r="AD112">
        <v>-1</v>
      </c>
      <c r="AE112">
        <v>0</v>
      </c>
      <c r="AF112">
        <v>-1</v>
      </c>
      <c r="AG112">
        <v>-1</v>
      </c>
      <c r="AH112">
        <v>-1</v>
      </c>
      <c r="AI112">
        <v>0</v>
      </c>
      <c r="AJ112">
        <v>1</v>
      </c>
      <c r="AK112" t="str">
        <f>VLOOKUP(AJ112, Lookups!$B$23:$C$28, 2, FALSE)</f>
        <v>Daylight</v>
      </c>
      <c r="AL112">
        <v>1</v>
      </c>
      <c r="AM112" t="str">
        <f>VLOOKUP(AL112, Lookups!$B$30:$C$39, 2, FALSE)</f>
        <v>Fine / Clear</v>
      </c>
      <c r="AN112">
        <v>2</v>
      </c>
      <c r="AO112" t="str">
        <f>VLOOKUP(AN112, Lookups!$B$41:$C$49, 2, FALSE)</f>
        <v>Wet / damp</v>
      </c>
      <c r="AP112">
        <v>-1</v>
      </c>
      <c r="AQ112">
        <v>-1</v>
      </c>
      <c r="AR112">
        <v>0</v>
      </c>
      <c r="AS112">
        <v>2</v>
      </c>
      <c r="AT112">
        <v>1</v>
      </c>
      <c r="AU112">
        <v>2</v>
      </c>
      <c r="AV112" t="s">
        <v>78</v>
      </c>
      <c r="AW112">
        <v>6</v>
      </c>
      <c r="AX112">
        <v>1</v>
      </c>
      <c r="AY112">
        <v>1</v>
      </c>
      <c r="AZ112">
        <v>0</v>
      </c>
    </row>
    <row r="113" spans="1:52" x14ac:dyDescent="0.35">
      <c r="A113">
        <v>2025221690670</v>
      </c>
      <c r="B113">
        <v>2025</v>
      </c>
      <c r="C113">
        <v>221690670</v>
      </c>
      <c r="D113">
        <v>382499</v>
      </c>
      <c r="E113">
        <v>253666</v>
      </c>
      <c r="F113">
        <v>-2.2573699999999999</v>
      </c>
      <c r="G113">
        <v>52.180959999999999</v>
      </c>
      <c r="H113">
        <v>22</v>
      </c>
      <c r="I113">
        <v>3</v>
      </c>
      <c r="J113" t="str">
        <f>VLOOKUP(I113, Lookups!$B$1:$C$4, 2, FALSE)</f>
        <v>Slight</v>
      </c>
      <c r="K113">
        <v>2</v>
      </c>
      <c r="L113">
        <v>2</v>
      </c>
      <c r="M113" s="1">
        <v>46006</v>
      </c>
      <c r="N113">
        <v>2</v>
      </c>
      <c r="O113" t="str">
        <f>VLOOKUP(N113, Lookups!$B$6:$C$12, 2, FALSE)</f>
        <v>Monday</v>
      </c>
      <c r="P113" s="2">
        <v>0.69097222222222221</v>
      </c>
      <c r="Q113">
        <v>-1</v>
      </c>
      <c r="R113" t="s">
        <v>49</v>
      </c>
      <c r="S113" t="s">
        <v>45</v>
      </c>
      <c r="T113" t="s">
        <v>45</v>
      </c>
      <c r="U113">
        <v>3</v>
      </c>
      <c r="V113" t="str">
        <f>VLOOKUP(U113, Lookups!$B$51:$C$57, 2, FALSE)</f>
        <v>A</v>
      </c>
      <c r="W113">
        <v>4440</v>
      </c>
      <c r="X113" t="str">
        <f t="shared" si="16"/>
        <v>A4440</v>
      </c>
      <c r="Y113">
        <v>1</v>
      </c>
      <c r="Z113" t="str">
        <f>VLOOKUP(Y113, Lookups!$B$14:$C$21, 2, FALSE)</f>
        <v>Roundabout</v>
      </c>
      <c r="AA113">
        <v>30</v>
      </c>
      <c r="AB113">
        <v>-1</v>
      </c>
      <c r="AC113">
        <v>-1</v>
      </c>
      <c r="AD113">
        <v>4</v>
      </c>
      <c r="AE113">
        <v>3</v>
      </c>
      <c r="AF113">
        <v>4440</v>
      </c>
      <c r="AG113">
        <v>-1</v>
      </c>
      <c r="AH113">
        <v>-1</v>
      </c>
      <c r="AI113">
        <v>0</v>
      </c>
      <c r="AJ113">
        <v>4</v>
      </c>
      <c r="AK113" t="str">
        <f>VLOOKUP(AJ113, Lookups!$B$23:$C$28, 2, FALSE)</f>
        <v>Darkness (Lit)</v>
      </c>
      <c r="AL113">
        <v>2</v>
      </c>
      <c r="AM113" t="str">
        <f>VLOOKUP(AL113, Lookups!$B$30:$C$39, 2, FALSE)</f>
        <v>Rain</v>
      </c>
      <c r="AN113">
        <v>2</v>
      </c>
      <c r="AO113" t="str">
        <f>VLOOKUP(AN113, Lookups!$B$41:$C$49, 2, FALSE)</f>
        <v>Wet / damp</v>
      </c>
      <c r="AP113">
        <v>-1</v>
      </c>
      <c r="AQ113">
        <v>-1</v>
      </c>
      <c r="AR113">
        <v>0</v>
      </c>
      <c r="AS113">
        <v>2</v>
      </c>
      <c r="AT113">
        <v>1</v>
      </c>
      <c r="AU113">
        <v>2</v>
      </c>
      <c r="AV113" t="s">
        <v>129</v>
      </c>
      <c r="AW113">
        <v>3</v>
      </c>
      <c r="AX113">
        <v>1</v>
      </c>
      <c r="AY113">
        <v>0</v>
      </c>
      <c r="AZ113">
        <v>1</v>
      </c>
    </row>
    <row r="114" spans="1:52" x14ac:dyDescent="0.35">
      <c r="A114">
        <v>2025221603112</v>
      </c>
      <c r="B114">
        <v>2025</v>
      </c>
      <c r="C114">
        <v>221603112</v>
      </c>
      <c r="D114">
        <v>386200</v>
      </c>
      <c r="E114">
        <v>252146</v>
      </c>
      <c r="F114">
        <v>-2.2031800000000001</v>
      </c>
      <c r="G114">
        <v>52.167400000000001</v>
      </c>
      <c r="H114">
        <v>22</v>
      </c>
      <c r="I114">
        <v>1</v>
      </c>
      <c r="J114" t="str">
        <f>VLOOKUP(I114, Lookups!$B$1:$C$4, 2, FALSE)</f>
        <v>Fatal</v>
      </c>
      <c r="K114">
        <v>1</v>
      </c>
      <c r="L114">
        <v>1</v>
      </c>
      <c r="M114" s="1">
        <v>45823</v>
      </c>
      <c r="N114">
        <v>1</v>
      </c>
      <c r="O114" t="str">
        <f>VLOOKUP(N114, Lookups!$B$6:$C$12, 2, FALSE)</f>
        <v>Sunday</v>
      </c>
      <c r="P114" s="2">
        <v>0.4</v>
      </c>
      <c r="Q114">
        <v>-1</v>
      </c>
      <c r="R114" t="s">
        <v>60</v>
      </c>
      <c r="S114" t="s">
        <v>45</v>
      </c>
      <c r="T114" t="s">
        <v>45</v>
      </c>
      <c r="U114">
        <v>3</v>
      </c>
      <c r="V114" t="str">
        <f>VLOOKUP(U114, Lookups!$B$51:$C$57, 2, FALSE)</f>
        <v>A</v>
      </c>
      <c r="W114">
        <v>4440</v>
      </c>
      <c r="X114" t="str">
        <f t="shared" si="16"/>
        <v>A4440</v>
      </c>
      <c r="Y114">
        <v>1</v>
      </c>
      <c r="Z114" t="str">
        <f>VLOOKUP(Y114, Lookups!$B$14:$C$21, 2, FALSE)</f>
        <v>Roundabout</v>
      </c>
      <c r="AA114">
        <v>40</v>
      </c>
      <c r="AB114">
        <v>-1</v>
      </c>
      <c r="AC114">
        <v>-1</v>
      </c>
      <c r="AD114">
        <v>4</v>
      </c>
      <c r="AE114">
        <v>6</v>
      </c>
      <c r="AF114">
        <v>0</v>
      </c>
      <c r="AG114">
        <v>-1</v>
      </c>
      <c r="AH114">
        <v>-1</v>
      </c>
      <c r="AI114">
        <v>0</v>
      </c>
      <c r="AJ114">
        <v>1</v>
      </c>
      <c r="AK114" t="str">
        <f>VLOOKUP(AJ114, Lookups!$B$23:$C$28, 2, FALSE)</f>
        <v>Daylight</v>
      </c>
      <c r="AL114">
        <v>1</v>
      </c>
      <c r="AM114" t="str">
        <f>VLOOKUP(AL114, Lookups!$B$30:$C$39, 2, FALSE)</f>
        <v>Fine / Clear</v>
      </c>
      <c r="AN114">
        <v>1</v>
      </c>
      <c r="AO114" t="str">
        <f>VLOOKUP(AN114, Lookups!$B$41:$C$49, 2, FALSE)</f>
        <v>Dry</v>
      </c>
      <c r="AP114">
        <v>-1</v>
      </c>
      <c r="AQ114">
        <v>-1</v>
      </c>
      <c r="AR114">
        <v>0</v>
      </c>
      <c r="AS114">
        <v>1</v>
      </c>
      <c r="AT114">
        <v>1</v>
      </c>
      <c r="AU114">
        <v>2</v>
      </c>
      <c r="AV114" t="s">
        <v>140</v>
      </c>
      <c r="AW114">
        <v>1</v>
      </c>
      <c r="AX114">
        <v>1</v>
      </c>
      <c r="AY114">
        <v>0</v>
      </c>
      <c r="AZ114">
        <v>0</v>
      </c>
    </row>
    <row r="115" spans="1:52" x14ac:dyDescent="0.35">
      <c r="A115">
        <v>2025221581942</v>
      </c>
      <c r="B115">
        <v>2025</v>
      </c>
      <c r="C115">
        <v>221581942</v>
      </c>
      <c r="D115">
        <v>404005</v>
      </c>
      <c r="E115">
        <v>260270</v>
      </c>
      <c r="F115">
        <v>-1.9427700000000001</v>
      </c>
      <c r="G115">
        <v>52.240600000000001</v>
      </c>
      <c r="H115">
        <v>22</v>
      </c>
      <c r="I115">
        <v>3</v>
      </c>
      <c r="J115" t="str">
        <f>VLOOKUP(I115, Lookups!$B$1:$C$4, 2, FALSE)</f>
        <v>Slight</v>
      </c>
      <c r="K115">
        <v>3</v>
      </c>
      <c r="L115">
        <v>2</v>
      </c>
      <c r="M115" s="1">
        <v>45772</v>
      </c>
      <c r="N115">
        <v>6</v>
      </c>
      <c r="O115" t="str">
        <f>VLOOKUP(N115, Lookups!$B$6:$C$12, 2, FALSE)</f>
        <v>Friday</v>
      </c>
      <c r="P115" s="2">
        <v>0.52013888888888893</v>
      </c>
      <c r="Q115">
        <v>-1</v>
      </c>
      <c r="R115" t="s">
        <v>54</v>
      </c>
      <c r="S115" t="s">
        <v>45</v>
      </c>
      <c r="T115" t="s">
        <v>45</v>
      </c>
      <c r="U115">
        <v>4</v>
      </c>
      <c r="V115" t="str">
        <f>VLOOKUP(U115, Lookups!$B$51:$C$57, 2, FALSE)</f>
        <v>B</v>
      </c>
      <c r="W115">
        <v>4090</v>
      </c>
      <c r="X115" t="str">
        <f t="shared" si="16"/>
        <v>B4090</v>
      </c>
      <c r="Y115">
        <v>6</v>
      </c>
      <c r="Z115" t="str">
        <f>VLOOKUP(Y115, Lookups!$B$14:$C$21, 2, FALSE)</f>
        <v>Single carriageway</v>
      </c>
      <c r="AA115">
        <v>60</v>
      </c>
      <c r="AB115">
        <v>-1</v>
      </c>
      <c r="AC115">
        <v>13</v>
      </c>
      <c r="AD115">
        <v>4</v>
      </c>
      <c r="AE115">
        <v>4</v>
      </c>
      <c r="AF115">
        <v>4092</v>
      </c>
      <c r="AG115">
        <v>-1</v>
      </c>
      <c r="AH115">
        <v>-1</v>
      </c>
      <c r="AI115">
        <v>0</v>
      </c>
      <c r="AJ115">
        <v>1</v>
      </c>
      <c r="AK115" t="str">
        <f>VLOOKUP(AJ115, Lookups!$B$23:$C$28, 2, FALSE)</f>
        <v>Daylight</v>
      </c>
      <c r="AL115">
        <v>1</v>
      </c>
      <c r="AM115" t="str">
        <f>VLOOKUP(AL115, Lookups!$B$30:$C$39, 2, FALSE)</f>
        <v>Fine / Clear</v>
      </c>
      <c r="AN115">
        <v>1</v>
      </c>
      <c r="AO115" t="str">
        <f>VLOOKUP(AN115, Lookups!$B$41:$C$49, 2, FALSE)</f>
        <v>Dry</v>
      </c>
      <c r="AP115">
        <v>-1</v>
      </c>
      <c r="AQ115">
        <v>-1</v>
      </c>
      <c r="AR115">
        <v>0</v>
      </c>
      <c r="AS115">
        <v>2</v>
      </c>
      <c r="AT115">
        <v>1</v>
      </c>
      <c r="AU115">
        <v>2</v>
      </c>
      <c r="AV115" t="s">
        <v>141</v>
      </c>
      <c r="AW115">
        <v>3</v>
      </c>
      <c r="AX115">
        <v>1</v>
      </c>
      <c r="AY115">
        <v>0</v>
      </c>
      <c r="AZ115">
        <v>1</v>
      </c>
    </row>
    <row r="116" spans="1:52" x14ac:dyDescent="0.35">
      <c r="A116">
        <v>2025221657103</v>
      </c>
      <c r="B116">
        <v>2025</v>
      </c>
      <c r="C116">
        <v>221657103</v>
      </c>
      <c r="D116">
        <v>384672</v>
      </c>
      <c r="E116">
        <v>255751</v>
      </c>
      <c r="F116">
        <v>-2.2256900000000002</v>
      </c>
      <c r="G116">
        <v>52.199770000000001</v>
      </c>
      <c r="H116">
        <v>22</v>
      </c>
      <c r="I116">
        <v>2</v>
      </c>
      <c r="J116" t="str">
        <f>VLOOKUP(I116, Lookups!$B$1:$C$4, 2, FALSE)</f>
        <v>Serious</v>
      </c>
      <c r="K116">
        <v>2</v>
      </c>
      <c r="L116">
        <v>1</v>
      </c>
      <c r="M116" s="1">
        <v>45922</v>
      </c>
      <c r="N116">
        <v>2</v>
      </c>
      <c r="O116" t="str">
        <f>VLOOKUP(N116, Lookups!$B$6:$C$12, 2, FALSE)</f>
        <v>Monday</v>
      </c>
      <c r="P116" s="2">
        <v>0.58680555555555558</v>
      </c>
      <c r="Q116">
        <v>-1</v>
      </c>
      <c r="R116" t="s">
        <v>60</v>
      </c>
      <c r="S116" t="s">
        <v>45</v>
      </c>
      <c r="T116" t="s">
        <v>45</v>
      </c>
      <c r="U116">
        <v>6</v>
      </c>
      <c r="V116" t="str">
        <f>VLOOKUP(U116, Lookups!$B$51:$C$57, 2, FALSE)</f>
        <v>Unclassified</v>
      </c>
      <c r="W116">
        <v>0</v>
      </c>
      <c r="X116" t="s">
        <v>362</v>
      </c>
      <c r="Y116">
        <v>6</v>
      </c>
      <c r="Z116" t="str">
        <f>VLOOKUP(Y116, Lookups!$B$14:$C$21, 2, FALSE)</f>
        <v>Single carriageway</v>
      </c>
      <c r="AA116">
        <v>20</v>
      </c>
      <c r="AB116">
        <v>-1</v>
      </c>
      <c r="AC116">
        <v>13</v>
      </c>
      <c r="AD116">
        <v>4</v>
      </c>
      <c r="AE116">
        <v>6</v>
      </c>
      <c r="AF116">
        <v>0</v>
      </c>
      <c r="AG116">
        <v>-1</v>
      </c>
      <c r="AH116">
        <v>-1</v>
      </c>
      <c r="AI116">
        <v>0</v>
      </c>
      <c r="AJ116">
        <v>1</v>
      </c>
      <c r="AK116" t="str">
        <f>VLOOKUP(AJ116, Lookups!$B$23:$C$28, 2, FALSE)</f>
        <v>Daylight</v>
      </c>
      <c r="AL116">
        <v>1</v>
      </c>
      <c r="AM116" t="str">
        <f>VLOOKUP(AL116, Lookups!$B$30:$C$39, 2, FALSE)</f>
        <v>Fine / Clear</v>
      </c>
      <c r="AN116">
        <v>1</v>
      </c>
      <c r="AO116" t="str">
        <f>VLOOKUP(AN116, Lookups!$B$41:$C$49, 2, FALSE)</f>
        <v>Dry</v>
      </c>
      <c r="AP116">
        <v>-1</v>
      </c>
      <c r="AQ116">
        <v>-1</v>
      </c>
      <c r="AR116">
        <v>0</v>
      </c>
      <c r="AS116">
        <v>1</v>
      </c>
      <c r="AT116">
        <v>1</v>
      </c>
      <c r="AU116">
        <v>2</v>
      </c>
      <c r="AV116" t="s">
        <v>142</v>
      </c>
      <c r="AW116">
        <v>7</v>
      </c>
      <c r="AX116">
        <v>1</v>
      </c>
      <c r="AY116">
        <v>1</v>
      </c>
      <c r="AZ116">
        <v>0</v>
      </c>
    </row>
    <row r="117" spans="1:52" x14ac:dyDescent="0.35">
      <c r="A117">
        <v>2025221712910</v>
      </c>
      <c r="B117">
        <v>2025</v>
      </c>
      <c r="C117">
        <v>221712910</v>
      </c>
      <c r="D117">
        <v>403500</v>
      </c>
      <c r="E117">
        <v>274001</v>
      </c>
      <c r="F117">
        <v>-1.9500200000000001</v>
      </c>
      <c r="G117">
        <v>52.364049999999999</v>
      </c>
      <c r="H117">
        <v>22</v>
      </c>
      <c r="I117">
        <v>3</v>
      </c>
      <c r="J117" t="str">
        <f>VLOOKUP(I117, Lookups!$B$1:$C$4, 2, FALSE)</f>
        <v>Slight</v>
      </c>
      <c r="K117">
        <v>2</v>
      </c>
      <c r="L117">
        <v>1</v>
      </c>
      <c r="M117" s="1">
        <v>45924</v>
      </c>
      <c r="N117">
        <v>4</v>
      </c>
      <c r="O117" t="str">
        <f>VLOOKUP(N117, Lookups!$B$6:$C$12, 2, FALSE)</f>
        <v>Wednesday</v>
      </c>
      <c r="P117" s="2">
        <v>0.79166666666666663</v>
      </c>
      <c r="Q117">
        <v>-1</v>
      </c>
      <c r="R117" t="s">
        <v>47</v>
      </c>
      <c r="S117" t="s">
        <v>45</v>
      </c>
      <c r="T117" t="s">
        <v>45</v>
      </c>
      <c r="U117">
        <v>3</v>
      </c>
      <c r="V117" t="str">
        <f>VLOOKUP(U117, Lookups!$B$51:$C$57, 2, FALSE)</f>
        <v>A</v>
      </c>
      <c r="W117">
        <v>441</v>
      </c>
      <c r="X117" t="str">
        <f>V117&amp;W117</f>
        <v>A441</v>
      </c>
      <c r="Y117">
        <v>6</v>
      </c>
      <c r="Z117" t="str">
        <f>VLOOKUP(Y117, Lookups!$B$14:$C$21, 2, FALSE)</f>
        <v>Single carriageway</v>
      </c>
      <c r="AA117">
        <v>60</v>
      </c>
      <c r="AB117">
        <v>-1</v>
      </c>
      <c r="AC117">
        <v>0</v>
      </c>
      <c r="AD117">
        <v>-1</v>
      </c>
      <c r="AE117">
        <v>0</v>
      </c>
      <c r="AF117">
        <v>-1</v>
      </c>
      <c r="AG117">
        <v>-1</v>
      </c>
      <c r="AH117">
        <v>-1</v>
      </c>
      <c r="AI117">
        <v>0</v>
      </c>
      <c r="AJ117">
        <v>1</v>
      </c>
      <c r="AK117" t="str">
        <f>VLOOKUP(AJ117, Lookups!$B$23:$C$28, 2, FALSE)</f>
        <v>Daylight</v>
      </c>
      <c r="AL117">
        <v>1</v>
      </c>
      <c r="AM117" t="str">
        <f>VLOOKUP(AL117, Lookups!$B$30:$C$39, 2, FALSE)</f>
        <v>Fine / Clear</v>
      </c>
      <c r="AN117">
        <v>1</v>
      </c>
      <c r="AO117" t="str">
        <f>VLOOKUP(AN117, Lookups!$B$41:$C$49, 2, FALSE)</f>
        <v>Dry</v>
      </c>
      <c r="AP117">
        <v>-1</v>
      </c>
      <c r="AQ117">
        <v>-1</v>
      </c>
      <c r="AR117">
        <v>0</v>
      </c>
      <c r="AS117">
        <v>2</v>
      </c>
      <c r="AT117">
        <v>1</v>
      </c>
      <c r="AU117">
        <v>2</v>
      </c>
      <c r="AV117" t="s">
        <v>77</v>
      </c>
      <c r="AW117">
        <v>3</v>
      </c>
      <c r="AX117">
        <v>1</v>
      </c>
      <c r="AY117">
        <v>0</v>
      </c>
      <c r="AZ117">
        <v>1</v>
      </c>
    </row>
    <row r="118" spans="1:52" x14ac:dyDescent="0.35">
      <c r="A118">
        <v>2025221559093</v>
      </c>
      <c r="B118">
        <v>2025</v>
      </c>
      <c r="C118">
        <v>221559093</v>
      </c>
      <c r="D118">
        <v>407036</v>
      </c>
      <c r="E118">
        <v>267393</v>
      </c>
      <c r="F118">
        <v>-1.8982300000000001</v>
      </c>
      <c r="G118">
        <v>52.304609999999997</v>
      </c>
      <c r="H118">
        <v>22</v>
      </c>
      <c r="I118">
        <v>3</v>
      </c>
      <c r="J118" t="str">
        <f>VLOOKUP(I118, Lookups!$B$1:$C$4, 2, FALSE)</f>
        <v>Slight</v>
      </c>
      <c r="K118">
        <v>1</v>
      </c>
      <c r="L118">
        <v>1</v>
      </c>
      <c r="M118" s="1">
        <v>45715</v>
      </c>
      <c r="N118">
        <v>5</v>
      </c>
      <c r="O118" t="str">
        <f>VLOOKUP(N118, Lookups!$B$6:$C$12, 2, FALSE)</f>
        <v>Thursday</v>
      </c>
      <c r="P118" s="2">
        <v>0.625</v>
      </c>
      <c r="Q118">
        <v>-1</v>
      </c>
      <c r="R118" t="s">
        <v>69</v>
      </c>
      <c r="S118" t="s">
        <v>45</v>
      </c>
      <c r="T118" t="s">
        <v>45</v>
      </c>
      <c r="U118">
        <v>6</v>
      </c>
      <c r="V118" t="str">
        <f>VLOOKUP(U118, Lookups!$B$51:$C$57, 2, FALSE)</f>
        <v>Unclassified</v>
      </c>
      <c r="W118">
        <v>0</v>
      </c>
      <c r="X118" t="s">
        <v>362</v>
      </c>
      <c r="Y118">
        <v>6</v>
      </c>
      <c r="Z118" t="str">
        <f>VLOOKUP(Y118, Lookups!$B$14:$C$21, 2, FALSE)</f>
        <v>Single carriageway</v>
      </c>
      <c r="AA118">
        <v>30</v>
      </c>
      <c r="AB118">
        <v>-1</v>
      </c>
      <c r="AC118">
        <v>0</v>
      </c>
      <c r="AD118">
        <v>-1</v>
      </c>
      <c r="AE118">
        <v>6</v>
      </c>
      <c r="AF118">
        <v>0</v>
      </c>
      <c r="AG118">
        <v>-1</v>
      </c>
      <c r="AH118">
        <v>-1</v>
      </c>
      <c r="AI118">
        <v>0</v>
      </c>
      <c r="AJ118">
        <v>1</v>
      </c>
      <c r="AK118" t="str">
        <f>VLOOKUP(AJ118, Lookups!$B$23:$C$28, 2, FALSE)</f>
        <v>Daylight</v>
      </c>
      <c r="AL118">
        <v>1</v>
      </c>
      <c r="AM118" t="str">
        <f>VLOOKUP(AL118, Lookups!$B$30:$C$39, 2, FALSE)</f>
        <v>Fine / Clear</v>
      </c>
      <c r="AN118">
        <v>1</v>
      </c>
      <c r="AO118" t="str">
        <f>VLOOKUP(AN118, Lookups!$B$41:$C$49, 2, FALSE)</f>
        <v>Dry</v>
      </c>
      <c r="AP118">
        <v>-1</v>
      </c>
      <c r="AQ118">
        <v>-1</v>
      </c>
      <c r="AR118">
        <v>0</v>
      </c>
      <c r="AS118">
        <v>1</v>
      </c>
      <c r="AT118">
        <v>3</v>
      </c>
      <c r="AU118">
        <v>2</v>
      </c>
      <c r="AV118" t="s">
        <v>143</v>
      </c>
      <c r="AW118">
        <v>3</v>
      </c>
      <c r="AX118">
        <v>1</v>
      </c>
      <c r="AY118">
        <v>0</v>
      </c>
      <c r="AZ118">
        <v>1</v>
      </c>
    </row>
    <row r="119" spans="1:52" x14ac:dyDescent="0.35">
      <c r="A119">
        <v>2025221603041</v>
      </c>
      <c r="B119">
        <v>2025</v>
      </c>
      <c r="C119">
        <v>221603041</v>
      </c>
      <c r="D119">
        <v>382398</v>
      </c>
      <c r="E119">
        <v>276309</v>
      </c>
      <c r="F119">
        <v>-2.26004</v>
      </c>
      <c r="G119">
        <v>52.384529999999998</v>
      </c>
      <c r="H119">
        <v>22</v>
      </c>
      <c r="I119">
        <v>3</v>
      </c>
      <c r="J119" t="str">
        <f>VLOOKUP(I119, Lookups!$B$1:$C$4, 2, FALSE)</f>
        <v>Slight</v>
      </c>
      <c r="K119">
        <v>2</v>
      </c>
      <c r="L119">
        <v>2</v>
      </c>
      <c r="M119" s="1">
        <v>45822</v>
      </c>
      <c r="N119">
        <v>7</v>
      </c>
      <c r="O119" t="str">
        <f>VLOOKUP(N119, Lookups!$B$6:$C$12, 2, FALSE)</f>
        <v>Saturday</v>
      </c>
      <c r="P119" s="2">
        <v>0.60416666666666663</v>
      </c>
      <c r="Q119">
        <v>-1</v>
      </c>
      <c r="R119" t="s">
        <v>44</v>
      </c>
      <c r="S119" t="s">
        <v>45</v>
      </c>
      <c r="T119" t="s">
        <v>45</v>
      </c>
      <c r="U119">
        <v>6</v>
      </c>
      <c r="V119" t="str">
        <f>VLOOKUP(U119, Lookups!$B$51:$C$57, 2, FALSE)</f>
        <v>Unclassified</v>
      </c>
      <c r="W119">
        <v>0</v>
      </c>
      <c r="X119" t="s">
        <v>362</v>
      </c>
      <c r="Y119">
        <v>6</v>
      </c>
      <c r="Z119" t="str">
        <f>VLOOKUP(Y119, Lookups!$B$14:$C$21, 2, FALSE)</f>
        <v>Single carriageway</v>
      </c>
      <c r="AA119">
        <v>30</v>
      </c>
      <c r="AB119">
        <v>-1</v>
      </c>
      <c r="AC119">
        <v>13</v>
      </c>
      <c r="AD119">
        <v>4</v>
      </c>
      <c r="AE119">
        <v>6</v>
      </c>
      <c r="AF119">
        <v>0</v>
      </c>
      <c r="AG119">
        <v>-1</v>
      </c>
      <c r="AH119">
        <v>-1</v>
      </c>
      <c r="AI119">
        <v>0</v>
      </c>
      <c r="AJ119">
        <v>1</v>
      </c>
      <c r="AK119" t="str">
        <f>VLOOKUP(AJ119, Lookups!$B$23:$C$28, 2, FALSE)</f>
        <v>Daylight</v>
      </c>
      <c r="AL119">
        <v>1</v>
      </c>
      <c r="AM119" t="str">
        <f>VLOOKUP(AL119, Lookups!$B$30:$C$39, 2, FALSE)</f>
        <v>Fine / Clear</v>
      </c>
      <c r="AN119">
        <v>1</v>
      </c>
      <c r="AO119" t="str">
        <f>VLOOKUP(AN119, Lookups!$B$41:$C$49, 2, FALSE)</f>
        <v>Dry</v>
      </c>
      <c r="AP119">
        <v>-1</v>
      </c>
      <c r="AQ119">
        <v>-1</v>
      </c>
      <c r="AR119">
        <v>0</v>
      </c>
      <c r="AS119">
        <v>1</v>
      </c>
      <c r="AT119">
        <v>3</v>
      </c>
      <c r="AU119">
        <v>2</v>
      </c>
      <c r="AV119" t="s">
        <v>144</v>
      </c>
      <c r="AW119">
        <v>3</v>
      </c>
      <c r="AX119">
        <v>1</v>
      </c>
      <c r="AY119">
        <v>0</v>
      </c>
      <c r="AZ119">
        <v>1</v>
      </c>
    </row>
    <row r="120" spans="1:52" x14ac:dyDescent="0.35">
      <c r="A120">
        <v>2025221631560</v>
      </c>
      <c r="B120">
        <v>2025</v>
      </c>
      <c r="C120">
        <v>221631560</v>
      </c>
      <c r="D120">
        <v>379594</v>
      </c>
      <c r="E120">
        <v>273585</v>
      </c>
      <c r="F120">
        <v>-2.3010700000000002</v>
      </c>
      <c r="G120">
        <v>52.359940000000002</v>
      </c>
      <c r="H120">
        <v>22</v>
      </c>
      <c r="I120">
        <v>2</v>
      </c>
      <c r="J120" t="str">
        <f>VLOOKUP(I120, Lookups!$B$1:$C$4, 2, FALSE)</f>
        <v>Serious</v>
      </c>
      <c r="K120">
        <v>2</v>
      </c>
      <c r="L120">
        <v>1</v>
      </c>
      <c r="M120" s="1">
        <v>45871</v>
      </c>
      <c r="N120">
        <v>7</v>
      </c>
      <c r="O120" t="str">
        <f>VLOOKUP(N120, Lookups!$B$6:$C$12, 2, FALSE)</f>
        <v>Saturday</v>
      </c>
      <c r="P120" s="2">
        <v>0.99513888888888891</v>
      </c>
      <c r="Q120">
        <v>-1</v>
      </c>
      <c r="R120" t="s">
        <v>44</v>
      </c>
      <c r="S120" t="s">
        <v>45</v>
      </c>
      <c r="T120" t="s">
        <v>45</v>
      </c>
      <c r="U120">
        <v>4</v>
      </c>
      <c r="V120" t="str">
        <f>VLOOKUP(U120, Lookups!$B$51:$C$57, 2, FALSE)</f>
        <v>B</v>
      </c>
      <c r="W120">
        <v>4195</v>
      </c>
      <c r="X120" t="str">
        <f t="shared" ref="X120:X128" si="17">V120&amp;W120</f>
        <v>B4195</v>
      </c>
      <c r="Y120">
        <v>6</v>
      </c>
      <c r="Z120" t="str">
        <f>VLOOKUP(Y120, Lookups!$B$14:$C$21, 2, FALSE)</f>
        <v>Single carriageway</v>
      </c>
      <c r="AA120">
        <v>50</v>
      </c>
      <c r="AB120">
        <v>-1</v>
      </c>
      <c r="AC120">
        <v>19</v>
      </c>
      <c r="AD120">
        <v>4</v>
      </c>
      <c r="AE120">
        <v>6</v>
      </c>
      <c r="AF120">
        <v>0</v>
      </c>
      <c r="AG120">
        <v>-1</v>
      </c>
      <c r="AH120">
        <v>-1</v>
      </c>
      <c r="AI120">
        <v>0</v>
      </c>
      <c r="AJ120">
        <v>6</v>
      </c>
      <c r="AK120" t="str">
        <f>VLOOKUP(AJ120, Lookups!$B$23:$C$28, 2, FALSE)</f>
        <v>Darkness (Unlit)</v>
      </c>
      <c r="AL120">
        <v>1</v>
      </c>
      <c r="AM120" t="str">
        <f>VLOOKUP(AL120, Lookups!$B$30:$C$39, 2, FALSE)</f>
        <v>Fine / Clear</v>
      </c>
      <c r="AN120">
        <v>1</v>
      </c>
      <c r="AO120" t="str">
        <f>VLOOKUP(AN120, Lookups!$B$41:$C$49, 2, FALSE)</f>
        <v>Dry</v>
      </c>
      <c r="AP120">
        <v>-1</v>
      </c>
      <c r="AQ120">
        <v>-1</v>
      </c>
      <c r="AR120">
        <v>0</v>
      </c>
      <c r="AS120">
        <v>2</v>
      </c>
      <c r="AT120">
        <v>1</v>
      </c>
      <c r="AU120">
        <v>2</v>
      </c>
      <c r="AV120" t="s">
        <v>145</v>
      </c>
      <c r="AW120">
        <v>6</v>
      </c>
      <c r="AX120">
        <v>1</v>
      </c>
      <c r="AY120">
        <v>1</v>
      </c>
      <c r="AZ120">
        <v>0</v>
      </c>
    </row>
    <row r="121" spans="1:52" x14ac:dyDescent="0.35">
      <c r="A121">
        <v>2025221588236</v>
      </c>
      <c r="B121">
        <v>2025</v>
      </c>
      <c r="C121">
        <v>221588236</v>
      </c>
      <c r="D121">
        <v>396897</v>
      </c>
      <c r="E121">
        <v>275654</v>
      </c>
      <c r="F121">
        <v>-2.0470100000000002</v>
      </c>
      <c r="G121">
        <v>52.378909999999998</v>
      </c>
      <c r="H121">
        <v>22</v>
      </c>
      <c r="I121">
        <v>3</v>
      </c>
      <c r="J121" t="str">
        <f>VLOOKUP(I121, Lookups!$B$1:$C$4, 2, FALSE)</f>
        <v>Slight</v>
      </c>
      <c r="K121">
        <v>2</v>
      </c>
      <c r="L121">
        <v>2</v>
      </c>
      <c r="M121" s="1">
        <v>45787</v>
      </c>
      <c r="N121">
        <v>7</v>
      </c>
      <c r="O121" t="str">
        <f>VLOOKUP(N121, Lookups!$B$6:$C$12, 2, FALSE)</f>
        <v>Saturday</v>
      </c>
      <c r="P121" s="2">
        <v>0.64930555555555558</v>
      </c>
      <c r="Q121">
        <v>-1</v>
      </c>
      <c r="R121" t="s">
        <v>47</v>
      </c>
      <c r="S121" t="s">
        <v>45</v>
      </c>
      <c r="T121" t="s">
        <v>45</v>
      </c>
      <c r="U121">
        <v>3</v>
      </c>
      <c r="V121" t="str">
        <f>VLOOKUP(U121, Lookups!$B$51:$C$57, 2, FALSE)</f>
        <v>A</v>
      </c>
      <c r="W121">
        <v>38</v>
      </c>
      <c r="X121" t="str">
        <f t="shared" si="17"/>
        <v>A38</v>
      </c>
      <c r="Y121">
        <v>1</v>
      </c>
      <c r="Z121" t="str">
        <f>VLOOKUP(Y121, Lookups!$B$14:$C$21, 2, FALSE)</f>
        <v>Roundabout</v>
      </c>
      <c r="AA121">
        <v>40</v>
      </c>
      <c r="AB121">
        <v>-1</v>
      </c>
      <c r="AC121">
        <v>-1</v>
      </c>
      <c r="AD121">
        <v>2</v>
      </c>
      <c r="AE121">
        <v>3</v>
      </c>
      <c r="AF121">
        <v>491</v>
      </c>
      <c r="AG121">
        <v>-1</v>
      </c>
      <c r="AH121">
        <v>-1</v>
      </c>
      <c r="AI121">
        <v>0</v>
      </c>
      <c r="AJ121">
        <v>1</v>
      </c>
      <c r="AK121" t="str">
        <f>VLOOKUP(AJ121, Lookups!$B$23:$C$28, 2, FALSE)</f>
        <v>Daylight</v>
      </c>
      <c r="AL121">
        <v>1</v>
      </c>
      <c r="AM121" t="str">
        <f>VLOOKUP(AL121, Lookups!$B$30:$C$39, 2, FALSE)</f>
        <v>Fine / Clear</v>
      </c>
      <c r="AN121">
        <v>1</v>
      </c>
      <c r="AO121" t="str">
        <f>VLOOKUP(AN121, Lookups!$B$41:$C$49, 2, FALSE)</f>
        <v>Dry</v>
      </c>
      <c r="AP121">
        <v>-1</v>
      </c>
      <c r="AQ121">
        <v>-1</v>
      </c>
      <c r="AR121">
        <v>0</v>
      </c>
      <c r="AS121">
        <v>2</v>
      </c>
      <c r="AT121">
        <v>1</v>
      </c>
      <c r="AU121">
        <v>2</v>
      </c>
      <c r="AV121" t="s">
        <v>146</v>
      </c>
      <c r="AW121">
        <v>3</v>
      </c>
      <c r="AX121">
        <v>1</v>
      </c>
      <c r="AY121">
        <v>0</v>
      </c>
      <c r="AZ121">
        <v>1</v>
      </c>
    </row>
    <row r="122" spans="1:52" x14ac:dyDescent="0.35">
      <c r="A122">
        <v>2025221613063</v>
      </c>
      <c r="B122">
        <v>2025</v>
      </c>
      <c r="C122">
        <v>221613063</v>
      </c>
      <c r="D122">
        <v>387677</v>
      </c>
      <c r="E122">
        <v>252339</v>
      </c>
      <c r="F122">
        <v>-2.1815899999999999</v>
      </c>
      <c r="G122">
        <v>52.169170000000001</v>
      </c>
      <c r="H122">
        <v>22</v>
      </c>
      <c r="I122">
        <v>3</v>
      </c>
      <c r="J122" t="str">
        <f>VLOOKUP(I122, Lookups!$B$1:$C$4, 2, FALSE)</f>
        <v>Slight</v>
      </c>
      <c r="K122">
        <v>2</v>
      </c>
      <c r="L122">
        <v>1</v>
      </c>
      <c r="M122" s="1">
        <v>45835</v>
      </c>
      <c r="N122">
        <v>6</v>
      </c>
      <c r="O122" t="str">
        <f>VLOOKUP(N122, Lookups!$B$6:$C$12, 2, FALSE)</f>
        <v>Friday</v>
      </c>
      <c r="P122" s="2">
        <v>0.47986111111111113</v>
      </c>
      <c r="Q122">
        <v>-1</v>
      </c>
      <c r="R122" t="s">
        <v>54</v>
      </c>
      <c r="S122" t="s">
        <v>45</v>
      </c>
      <c r="T122" t="s">
        <v>45</v>
      </c>
      <c r="U122">
        <v>3</v>
      </c>
      <c r="V122" t="str">
        <f>VLOOKUP(U122, Lookups!$B$51:$C$57, 2, FALSE)</f>
        <v>A</v>
      </c>
      <c r="W122">
        <v>44</v>
      </c>
      <c r="X122" t="str">
        <f t="shared" si="17"/>
        <v>A44</v>
      </c>
      <c r="Y122">
        <v>1</v>
      </c>
      <c r="Z122" t="str">
        <f>VLOOKUP(Y122, Lookups!$B$14:$C$21, 2, FALSE)</f>
        <v>Roundabout</v>
      </c>
      <c r="AA122">
        <v>40</v>
      </c>
      <c r="AB122">
        <v>-1</v>
      </c>
      <c r="AC122">
        <v>-1</v>
      </c>
      <c r="AD122">
        <v>2</v>
      </c>
      <c r="AE122">
        <v>3</v>
      </c>
      <c r="AF122">
        <v>44</v>
      </c>
      <c r="AG122">
        <v>-1</v>
      </c>
      <c r="AH122">
        <v>-1</v>
      </c>
      <c r="AI122">
        <v>0</v>
      </c>
      <c r="AJ122">
        <v>1</v>
      </c>
      <c r="AK122" t="str">
        <f>VLOOKUP(AJ122, Lookups!$B$23:$C$28, 2, FALSE)</f>
        <v>Daylight</v>
      </c>
      <c r="AL122">
        <v>1</v>
      </c>
      <c r="AM122" t="str">
        <f>VLOOKUP(AL122, Lookups!$B$30:$C$39, 2, FALSE)</f>
        <v>Fine / Clear</v>
      </c>
      <c r="AN122">
        <v>1</v>
      </c>
      <c r="AO122" t="str">
        <f>VLOOKUP(AN122, Lookups!$B$41:$C$49, 2, FALSE)</f>
        <v>Dry</v>
      </c>
      <c r="AP122">
        <v>-1</v>
      </c>
      <c r="AQ122">
        <v>-1</v>
      </c>
      <c r="AR122">
        <v>0</v>
      </c>
      <c r="AS122">
        <v>2</v>
      </c>
      <c r="AT122">
        <v>1</v>
      </c>
      <c r="AU122">
        <v>2</v>
      </c>
      <c r="AV122" t="s">
        <v>132</v>
      </c>
      <c r="AW122">
        <v>3</v>
      </c>
      <c r="AX122">
        <v>1</v>
      </c>
      <c r="AY122">
        <v>0</v>
      </c>
      <c r="AZ122">
        <v>1</v>
      </c>
    </row>
    <row r="123" spans="1:52" x14ac:dyDescent="0.35">
      <c r="A123">
        <v>2025221634803</v>
      </c>
      <c r="B123">
        <v>2025</v>
      </c>
      <c r="C123">
        <v>221634803</v>
      </c>
      <c r="D123">
        <v>395568</v>
      </c>
      <c r="E123">
        <v>272910</v>
      </c>
      <c r="F123">
        <v>-2.0665</v>
      </c>
      <c r="G123">
        <v>52.354239999999997</v>
      </c>
      <c r="H123">
        <v>22</v>
      </c>
      <c r="I123">
        <v>2</v>
      </c>
      <c r="J123" t="str">
        <f>VLOOKUP(I123, Lookups!$B$1:$C$4, 2, FALSE)</f>
        <v>Serious</v>
      </c>
      <c r="K123">
        <v>1</v>
      </c>
      <c r="L123">
        <v>1</v>
      </c>
      <c r="M123" s="1">
        <v>45898</v>
      </c>
      <c r="N123">
        <v>6</v>
      </c>
      <c r="O123" t="str">
        <f>VLOOKUP(N123, Lookups!$B$6:$C$12, 2, FALSE)</f>
        <v>Friday</v>
      </c>
      <c r="P123" s="2">
        <v>0.56944444444444442</v>
      </c>
      <c r="Q123">
        <v>-1</v>
      </c>
      <c r="R123" t="s">
        <v>47</v>
      </c>
      <c r="S123" t="s">
        <v>45</v>
      </c>
      <c r="T123" t="s">
        <v>45</v>
      </c>
      <c r="U123">
        <v>1</v>
      </c>
      <c r="V123" t="str">
        <f>VLOOKUP(U123, Lookups!$B$51:$C$57, 2, FALSE)</f>
        <v>M</v>
      </c>
      <c r="W123">
        <v>42</v>
      </c>
      <c r="X123" t="str">
        <f t="shared" si="17"/>
        <v>M42</v>
      </c>
      <c r="Y123">
        <v>3</v>
      </c>
      <c r="Z123" t="str">
        <f>VLOOKUP(Y123, Lookups!$B$14:$C$21, 2, FALSE)</f>
        <v>Dual carriageway</v>
      </c>
      <c r="AA123">
        <v>70</v>
      </c>
      <c r="AB123">
        <v>-1</v>
      </c>
      <c r="AC123">
        <v>0</v>
      </c>
      <c r="AD123">
        <v>-1</v>
      </c>
      <c r="AE123">
        <v>0</v>
      </c>
      <c r="AF123">
        <v>-1</v>
      </c>
      <c r="AG123">
        <v>-1</v>
      </c>
      <c r="AH123">
        <v>-1</v>
      </c>
      <c r="AI123">
        <v>0</v>
      </c>
      <c r="AJ123">
        <v>1</v>
      </c>
      <c r="AK123" t="str">
        <f>VLOOKUP(AJ123, Lookups!$B$23:$C$28, 2, FALSE)</f>
        <v>Daylight</v>
      </c>
      <c r="AL123">
        <v>1</v>
      </c>
      <c r="AM123" t="str">
        <f>VLOOKUP(AL123, Lookups!$B$30:$C$39, 2, FALSE)</f>
        <v>Fine / Clear</v>
      </c>
      <c r="AN123">
        <v>1</v>
      </c>
      <c r="AO123" t="str">
        <f>VLOOKUP(AN123, Lookups!$B$41:$C$49, 2, FALSE)</f>
        <v>Dry</v>
      </c>
      <c r="AP123">
        <v>-1</v>
      </c>
      <c r="AQ123">
        <v>-1</v>
      </c>
      <c r="AR123">
        <v>0</v>
      </c>
      <c r="AS123">
        <v>2</v>
      </c>
      <c r="AT123">
        <v>1</v>
      </c>
      <c r="AU123">
        <v>1</v>
      </c>
      <c r="AV123" t="s">
        <v>147</v>
      </c>
      <c r="AW123">
        <v>7</v>
      </c>
      <c r="AX123">
        <v>1</v>
      </c>
      <c r="AY123">
        <v>1</v>
      </c>
      <c r="AZ123">
        <v>0</v>
      </c>
    </row>
    <row r="124" spans="1:52" x14ac:dyDescent="0.35">
      <c r="A124">
        <v>2025221597549</v>
      </c>
      <c r="B124">
        <v>2025</v>
      </c>
      <c r="C124">
        <v>221597549</v>
      </c>
      <c r="D124">
        <v>385206</v>
      </c>
      <c r="E124">
        <v>254996</v>
      </c>
      <c r="F124">
        <v>-2.2178399999999998</v>
      </c>
      <c r="G124">
        <v>52.192999999999998</v>
      </c>
      <c r="H124">
        <v>22</v>
      </c>
      <c r="I124">
        <v>2</v>
      </c>
      <c r="J124" t="str">
        <f>VLOOKUP(I124, Lookups!$B$1:$C$4, 2, FALSE)</f>
        <v>Serious</v>
      </c>
      <c r="K124">
        <v>1</v>
      </c>
      <c r="L124">
        <v>1</v>
      </c>
      <c r="M124" s="1">
        <v>45800</v>
      </c>
      <c r="N124">
        <v>6</v>
      </c>
      <c r="O124" t="str">
        <f>VLOOKUP(N124, Lookups!$B$6:$C$12, 2, FALSE)</f>
        <v>Friday</v>
      </c>
      <c r="P124" s="2">
        <v>0.68333333333333335</v>
      </c>
      <c r="Q124">
        <v>-1</v>
      </c>
      <c r="R124" t="s">
        <v>60</v>
      </c>
      <c r="S124" t="s">
        <v>45</v>
      </c>
      <c r="T124" t="s">
        <v>45</v>
      </c>
      <c r="U124">
        <v>3</v>
      </c>
      <c r="V124" t="str">
        <f>VLOOKUP(U124, Lookups!$B$51:$C$57, 2, FALSE)</f>
        <v>A</v>
      </c>
      <c r="W124">
        <v>38</v>
      </c>
      <c r="X124" t="str">
        <f t="shared" si="17"/>
        <v>A38</v>
      </c>
      <c r="Y124">
        <v>3</v>
      </c>
      <c r="Z124" t="str">
        <f>VLOOKUP(Y124, Lookups!$B$14:$C$21, 2, FALSE)</f>
        <v>Dual carriageway</v>
      </c>
      <c r="AA124">
        <v>30</v>
      </c>
      <c r="AB124">
        <v>-1</v>
      </c>
      <c r="AC124">
        <v>0</v>
      </c>
      <c r="AD124">
        <v>-1</v>
      </c>
      <c r="AE124">
        <v>6</v>
      </c>
      <c r="AF124">
        <v>0</v>
      </c>
      <c r="AG124">
        <v>-1</v>
      </c>
      <c r="AH124">
        <v>-1</v>
      </c>
      <c r="AI124">
        <v>14</v>
      </c>
      <c r="AJ124">
        <v>1</v>
      </c>
      <c r="AK124" t="str">
        <f>VLOOKUP(AJ124, Lookups!$B$23:$C$28, 2, FALSE)</f>
        <v>Daylight</v>
      </c>
      <c r="AL124">
        <v>1</v>
      </c>
      <c r="AM124" t="str">
        <f>VLOOKUP(AL124, Lookups!$B$30:$C$39, 2, FALSE)</f>
        <v>Fine / Clear</v>
      </c>
      <c r="AN124">
        <v>1</v>
      </c>
      <c r="AO124" t="str">
        <f>VLOOKUP(AN124, Lookups!$B$41:$C$49, 2, FALSE)</f>
        <v>Dry</v>
      </c>
      <c r="AP124">
        <v>-1</v>
      </c>
      <c r="AQ124">
        <v>-1</v>
      </c>
      <c r="AR124">
        <v>0</v>
      </c>
      <c r="AS124">
        <v>1</v>
      </c>
      <c r="AT124">
        <v>1</v>
      </c>
      <c r="AU124">
        <v>2</v>
      </c>
      <c r="AV124" t="s">
        <v>79</v>
      </c>
      <c r="AW124">
        <v>5</v>
      </c>
      <c r="AX124">
        <v>1</v>
      </c>
      <c r="AY124">
        <v>1</v>
      </c>
      <c r="AZ124">
        <v>0</v>
      </c>
    </row>
    <row r="125" spans="1:52" x14ac:dyDescent="0.35">
      <c r="A125">
        <v>2025221561921</v>
      </c>
      <c r="B125">
        <v>2025</v>
      </c>
      <c r="C125">
        <v>221561921</v>
      </c>
      <c r="D125">
        <v>379530</v>
      </c>
      <c r="E125">
        <v>274288</v>
      </c>
      <c r="F125">
        <v>-2.3020499999999999</v>
      </c>
      <c r="G125">
        <v>52.366259999999997</v>
      </c>
      <c r="H125">
        <v>22</v>
      </c>
      <c r="I125">
        <v>3</v>
      </c>
      <c r="J125" t="str">
        <f>VLOOKUP(I125, Lookups!$B$1:$C$4, 2, FALSE)</f>
        <v>Slight</v>
      </c>
      <c r="K125">
        <v>3</v>
      </c>
      <c r="L125">
        <v>1</v>
      </c>
      <c r="M125" s="1">
        <v>45716</v>
      </c>
      <c r="N125">
        <v>6</v>
      </c>
      <c r="O125" t="str">
        <f>VLOOKUP(N125, Lookups!$B$6:$C$12, 2, FALSE)</f>
        <v>Friday</v>
      </c>
      <c r="P125" s="2">
        <v>0.47916666666666669</v>
      </c>
      <c r="Q125">
        <v>-1</v>
      </c>
      <c r="R125" t="s">
        <v>44</v>
      </c>
      <c r="S125" t="s">
        <v>45</v>
      </c>
      <c r="T125" t="s">
        <v>45</v>
      </c>
      <c r="U125">
        <v>3</v>
      </c>
      <c r="V125" t="str">
        <f>VLOOKUP(U125, Lookups!$B$51:$C$57, 2, FALSE)</f>
        <v>A</v>
      </c>
      <c r="W125">
        <v>456</v>
      </c>
      <c r="X125" t="str">
        <f t="shared" si="17"/>
        <v>A456</v>
      </c>
      <c r="Y125">
        <v>6</v>
      </c>
      <c r="Z125" t="str">
        <f>VLOOKUP(Y125, Lookups!$B$14:$C$21, 2, FALSE)</f>
        <v>Single carriageway</v>
      </c>
      <c r="AA125">
        <v>50</v>
      </c>
      <c r="AB125">
        <v>-1</v>
      </c>
      <c r="AC125">
        <v>0</v>
      </c>
      <c r="AD125">
        <v>-1</v>
      </c>
      <c r="AE125">
        <v>0</v>
      </c>
      <c r="AF125">
        <v>-1</v>
      </c>
      <c r="AG125">
        <v>-1</v>
      </c>
      <c r="AH125">
        <v>-1</v>
      </c>
      <c r="AI125">
        <v>0</v>
      </c>
      <c r="AJ125">
        <v>1</v>
      </c>
      <c r="AK125" t="str">
        <f>VLOOKUP(AJ125, Lookups!$B$23:$C$28, 2, FALSE)</f>
        <v>Daylight</v>
      </c>
      <c r="AL125">
        <v>1</v>
      </c>
      <c r="AM125" t="str">
        <f>VLOOKUP(AL125, Lookups!$B$30:$C$39, 2, FALSE)</f>
        <v>Fine / Clear</v>
      </c>
      <c r="AN125">
        <v>1</v>
      </c>
      <c r="AO125" t="str">
        <f>VLOOKUP(AN125, Lookups!$B$41:$C$49, 2, FALSE)</f>
        <v>Dry</v>
      </c>
      <c r="AP125">
        <v>-1</v>
      </c>
      <c r="AQ125">
        <v>-1</v>
      </c>
      <c r="AR125">
        <v>0</v>
      </c>
      <c r="AS125">
        <v>2</v>
      </c>
      <c r="AT125">
        <v>1</v>
      </c>
      <c r="AU125">
        <v>2</v>
      </c>
      <c r="AV125" t="s">
        <v>91</v>
      </c>
      <c r="AW125">
        <v>3</v>
      </c>
      <c r="AX125">
        <v>1</v>
      </c>
      <c r="AY125">
        <v>0</v>
      </c>
      <c r="AZ125">
        <v>1</v>
      </c>
    </row>
    <row r="126" spans="1:52" x14ac:dyDescent="0.35">
      <c r="A126">
        <v>2025221644742</v>
      </c>
      <c r="B126">
        <v>2025</v>
      </c>
      <c r="C126">
        <v>221644742</v>
      </c>
      <c r="D126">
        <v>409890</v>
      </c>
      <c r="E126">
        <v>238765</v>
      </c>
      <c r="F126">
        <v>-1.8572</v>
      </c>
      <c r="G126">
        <v>52.047190000000001</v>
      </c>
      <c r="H126">
        <v>22</v>
      </c>
      <c r="I126">
        <v>2</v>
      </c>
      <c r="J126" t="str">
        <f>VLOOKUP(I126, Lookups!$B$1:$C$4, 2, FALSE)</f>
        <v>Serious</v>
      </c>
      <c r="K126">
        <v>2</v>
      </c>
      <c r="L126">
        <v>1</v>
      </c>
      <c r="M126" s="1">
        <v>45922</v>
      </c>
      <c r="N126">
        <v>2</v>
      </c>
      <c r="O126" t="str">
        <f>VLOOKUP(N126, Lookups!$B$6:$C$12, 2, FALSE)</f>
        <v>Monday</v>
      </c>
      <c r="P126" s="2">
        <v>0.29305555555555557</v>
      </c>
      <c r="Q126">
        <v>-1</v>
      </c>
      <c r="R126" t="s">
        <v>54</v>
      </c>
      <c r="S126" t="s">
        <v>45</v>
      </c>
      <c r="T126" t="s">
        <v>45</v>
      </c>
      <c r="U126">
        <v>3</v>
      </c>
      <c r="V126" t="str">
        <f>VLOOKUP(U126, Lookups!$B$51:$C$57, 2, FALSE)</f>
        <v>A</v>
      </c>
      <c r="W126">
        <v>44</v>
      </c>
      <c r="X126" t="str">
        <f t="shared" si="17"/>
        <v>A44</v>
      </c>
      <c r="Y126">
        <v>1</v>
      </c>
      <c r="Z126" t="str">
        <f>VLOOKUP(Y126, Lookups!$B$14:$C$21, 2, FALSE)</f>
        <v>Roundabout</v>
      </c>
      <c r="AA126">
        <v>60</v>
      </c>
      <c r="AB126">
        <v>-1</v>
      </c>
      <c r="AC126">
        <v>-1</v>
      </c>
      <c r="AD126">
        <v>4</v>
      </c>
      <c r="AE126">
        <v>4</v>
      </c>
      <c r="AF126">
        <v>4632</v>
      </c>
      <c r="AG126">
        <v>-1</v>
      </c>
      <c r="AH126">
        <v>-1</v>
      </c>
      <c r="AI126">
        <v>0</v>
      </c>
      <c r="AJ126">
        <v>1</v>
      </c>
      <c r="AK126" t="str">
        <f>VLOOKUP(AJ126, Lookups!$B$23:$C$28, 2, FALSE)</f>
        <v>Daylight</v>
      </c>
      <c r="AL126">
        <v>7</v>
      </c>
      <c r="AM126" t="str">
        <f>VLOOKUP(AL126, Lookups!$B$30:$C$39, 2, FALSE)</f>
        <v>Fog / Mist</v>
      </c>
      <c r="AN126">
        <v>1</v>
      </c>
      <c r="AO126" t="str">
        <f>VLOOKUP(AN126, Lookups!$B$41:$C$49, 2, FALSE)</f>
        <v>Dry</v>
      </c>
      <c r="AP126">
        <v>-1</v>
      </c>
      <c r="AQ126">
        <v>-1</v>
      </c>
      <c r="AR126">
        <v>0</v>
      </c>
      <c r="AS126">
        <v>2</v>
      </c>
      <c r="AT126">
        <v>1</v>
      </c>
      <c r="AU126">
        <v>2</v>
      </c>
      <c r="AV126" t="s">
        <v>94</v>
      </c>
      <c r="AW126">
        <v>7</v>
      </c>
      <c r="AX126">
        <v>1</v>
      </c>
      <c r="AY126">
        <v>1</v>
      </c>
      <c r="AZ126">
        <v>0</v>
      </c>
    </row>
    <row r="127" spans="1:52" x14ac:dyDescent="0.35">
      <c r="A127">
        <v>2025221690354</v>
      </c>
      <c r="B127">
        <v>2025</v>
      </c>
      <c r="C127">
        <v>221690354</v>
      </c>
      <c r="D127">
        <v>403431</v>
      </c>
      <c r="E127">
        <v>272358</v>
      </c>
      <c r="F127">
        <v>-1.95105</v>
      </c>
      <c r="G127">
        <v>52.34928</v>
      </c>
      <c r="H127">
        <v>22</v>
      </c>
      <c r="I127">
        <v>2</v>
      </c>
      <c r="J127" t="str">
        <f>VLOOKUP(I127, Lookups!$B$1:$C$4, 2, FALSE)</f>
        <v>Serious</v>
      </c>
      <c r="K127">
        <v>2</v>
      </c>
      <c r="L127">
        <v>1</v>
      </c>
      <c r="M127" s="1">
        <v>46013</v>
      </c>
      <c r="N127">
        <v>2</v>
      </c>
      <c r="O127" t="str">
        <f>VLOOKUP(N127, Lookups!$B$6:$C$12, 2, FALSE)</f>
        <v>Monday</v>
      </c>
      <c r="P127" s="2">
        <v>0.41319444444444442</v>
      </c>
      <c r="Q127">
        <v>-1</v>
      </c>
      <c r="R127" t="s">
        <v>47</v>
      </c>
      <c r="S127" t="s">
        <v>45</v>
      </c>
      <c r="T127" t="s">
        <v>45</v>
      </c>
      <c r="U127">
        <v>3</v>
      </c>
      <c r="V127" t="str">
        <f>VLOOKUP(U127, Lookups!$B$51:$C$57, 2, FALSE)</f>
        <v>A</v>
      </c>
      <c r="W127">
        <v>441</v>
      </c>
      <c r="X127" t="str">
        <f t="shared" si="17"/>
        <v>A441</v>
      </c>
      <c r="Y127">
        <v>3</v>
      </c>
      <c r="Z127" t="str">
        <f>VLOOKUP(Y127, Lookups!$B$14:$C$21, 2, FALSE)</f>
        <v>Dual carriageway</v>
      </c>
      <c r="AA127">
        <v>70</v>
      </c>
      <c r="AB127">
        <v>-1</v>
      </c>
      <c r="AC127">
        <v>0</v>
      </c>
      <c r="AD127">
        <v>-1</v>
      </c>
      <c r="AE127">
        <v>0</v>
      </c>
      <c r="AF127">
        <v>-1</v>
      </c>
      <c r="AG127">
        <v>-1</v>
      </c>
      <c r="AH127">
        <v>-1</v>
      </c>
      <c r="AI127">
        <v>0</v>
      </c>
      <c r="AJ127">
        <v>1</v>
      </c>
      <c r="AK127" t="str">
        <f>VLOOKUP(AJ127, Lookups!$B$23:$C$28, 2, FALSE)</f>
        <v>Daylight</v>
      </c>
      <c r="AL127">
        <v>1</v>
      </c>
      <c r="AM127" t="str">
        <f>VLOOKUP(AL127, Lookups!$B$30:$C$39, 2, FALSE)</f>
        <v>Fine / Clear</v>
      </c>
      <c r="AN127">
        <v>2</v>
      </c>
      <c r="AO127" t="str">
        <f>VLOOKUP(AN127, Lookups!$B$41:$C$49, 2, FALSE)</f>
        <v>Wet / damp</v>
      </c>
      <c r="AP127">
        <v>-1</v>
      </c>
      <c r="AQ127">
        <v>-1</v>
      </c>
      <c r="AR127">
        <v>13</v>
      </c>
      <c r="AS127">
        <v>2</v>
      </c>
      <c r="AT127">
        <v>1</v>
      </c>
      <c r="AU127">
        <v>2</v>
      </c>
      <c r="AV127" t="s">
        <v>77</v>
      </c>
      <c r="AW127">
        <v>6</v>
      </c>
      <c r="AX127">
        <v>1</v>
      </c>
      <c r="AY127">
        <v>1</v>
      </c>
      <c r="AZ127">
        <v>0</v>
      </c>
    </row>
    <row r="128" spans="1:52" x14ac:dyDescent="0.35">
      <c r="A128">
        <v>2025221660126</v>
      </c>
      <c r="B128">
        <v>2025</v>
      </c>
      <c r="C128">
        <v>221660126</v>
      </c>
      <c r="D128">
        <v>381957</v>
      </c>
      <c r="E128">
        <v>276320</v>
      </c>
      <c r="F128">
        <v>-2.2665199999999999</v>
      </c>
      <c r="G128">
        <v>52.384610000000002</v>
      </c>
      <c r="H128">
        <v>22</v>
      </c>
      <c r="I128">
        <v>2</v>
      </c>
      <c r="J128" t="str">
        <f>VLOOKUP(I128, Lookups!$B$1:$C$4, 2, FALSE)</f>
        <v>Serious</v>
      </c>
      <c r="K128">
        <v>2</v>
      </c>
      <c r="L128">
        <v>1</v>
      </c>
      <c r="M128" s="1">
        <v>45955</v>
      </c>
      <c r="N128">
        <v>7</v>
      </c>
      <c r="O128" t="str">
        <f>VLOOKUP(N128, Lookups!$B$6:$C$12, 2, FALSE)</f>
        <v>Saturday</v>
      </c>
      <c r="P128" s="2">
        <v>0.47291666666666665</v>
      </c>
      <c r="Q128">
        <v>-1</v>
      </c>
      <c r="R128" t="s">
        <v>44</v>
      </c>
      <c r="S128" t="s">
        <v>45</v>
      </c>
      <c r="T128" t="s">
        <v>45</v>
      </c>
      <c r="U128">
        <v>3</v>
      </c>
      <c r="V128" t="str">
        <f>VLOOKUP(U128, Lookups!$B$51:$C$57, 2, FALSE)</f>
        <v>A</v>
      </c>
      <c r="W128">
        <v>456</v>
      </c>
      <c r="X128" t="str">
        <f t="shared" si="17"/>
        <v>A456</v>
      </c>
      <c r="Y128">
        <v>6</v>
      </c>
      <c r="Z128" t="str">
        <f>VLOOKUP(Y128, Lookups!$B$14:$C$21, 2, FALSE)</f>
        <v>Single carriageway</v>
      </c>
      <c r="AA128">
        <v>30</v>
      </c>
      <c r="AB128">
        <v>-1</v>
      </c>
      <c r="AC128">
        <v>19</v>
      </c>
      <c r="AD128">
        <v>4</v>
      </c>
      <c r="AE128">
        <v>6</v>
      </c>
      <c r="AF128">
        <v>0</v>
      </c>
      <c r="AG128">
        <v>-1</v>
      </c>
      <c r="AH128">
        <v>-1</v>
      </c>
      <c r="AI128">
        <v>0</v>
      </c>
      <c r="AJ128">
        <v>1</v>
      </c>
      <c r="AK128" t="str">
        <f>VLOOKUP(AJ128, Lookups!$B$23:$C$28, 2, FALSE)</f>
        <v>Daylight</v>
      </c>
      <c r="AL128">
        <v>2</v>
      </c>
      <c r="AM128" t="str">
        <f>VLOOKUP(AL128, Lookups!$B$30:$C$39, 2, FALSE)</f>
        <v>Rain</v>
      </c>
      <c r="AN128">
        <v>2</v>
      </c>
      <c r="AO128" t="str">
        <f>VLOOKUP(AN128, Lookups!$B$41:$C$49, 2, FALSE)</f>
        <v>Wet / damp</v>
      </c>
      <c r="AP128">
        <v>-1</v>
      </c>
      <c r="AQ128">
        <v>-1</v>
      </c>
      <c r="AR128">
        <v>0</v>
      </c>
      <c r="AS128">
        <v>1</v>
      </c>
      <c r="AT128">
        <v>1</v>
      </c>
      <c r="AU128">
        <v>2</v>
      </c>
      <c r="AV128" t="s">
        <v>148</v>
      </c>
      <c r="AW128">
        <v>6</v>
      </c>
      <c r="AX128">
        <v>1</v>
      </c>
      <c r="AY128">
        <v>1</v>
      </c>
      <c r="AZ128">
        <v>0</v>
      </c>
    </row>
    <row r="129" spans="1:52" x14ac:dyDescent="0.35">
      <c r="A129">
        <v>2025221684635</v>
      </c>
      <c r="B129">
        <v>2025</v>
      </c>
      <c r="C129">
        <v>221684635</v>
      </c>
      <c r="D129">
        <v>399099</v>
      </c>
      <c r="E129">
        <v>280843</v>
      </c>
      <c r="F129">
        <v>-2.0146799999999998</v>
      </c>
      <c r="G129">
        <v>52.42557</v>
      </c>
      <c r="H129">
        <v>22</v>
      </c>
      <c r="I129">
        <v>3</v>
      </c>
      <c r="J129" t="str">
        <f>VLOOKUP(I129, Lookups!$B$1:$C$4, 2, FALSE)</f>
        <v>Slight</v>
      </c>
      <c r="K129">
        <v>3</v>
      </c>
      <c r="L129">
        <v>1</v>
      </c>
      <c r="M129" s="1">
        <v>46008</v>
      </c>
      <c r="N129">
        <v>4</v>
      </c>
      <c r="O129" t="str">
        <f>VLOOKUP(N129, Lookups!$B$6:$C$12, 2, FALSE)</f>
        <v>Wednesday</v>
      </c>
      <c r="P129" s="2">
        <v>0.87430555555555556</v>
      </c>
      <c r="Q129">
        <v>-1</v>
      </c>
      <c r="R129" t="s">
        <v>47</v>
      </c>
      <c r="S129" t="s">
        <v>45</v>
      </c>
      <c r="T129" t="s">
        <v>45</v>
      </c>
      <c r="U129">
        <v>6</v>
      </c>
      <c r="V129" t="str">
        <f>VLOOKUP(U129, Lookups!$B$51:$C$57, 2, FALSE)</f>
        <v>Unclassified</v>
      </c>
      <c r="W129">
        <v>0</v>
      </c>
      <c r="X129" t="s">
        <v>362</v>
      </c>
      <c r="Y129">
        <v>6</v>
      </c>
      <c r="Z129" t="str">
        <f>VLOOKUP(Y129, Lookups!$B$14:$C$21, 2, FALSE)</f>
        <v>Single carriageway</v>
      </c>
      <c r="AA129">
        <v>50</v>
      </c>
      <c r="AB129">
        <v>-1</v>
      </c>
      <c r="AC129">
        <v>0</v>
      </c>
      <c r="AD129">
        <v>-1</v>
      </c>
      <c r="AE129">
        <v>0</v>
      </c>
      <c r="AF129">
        <v>-1</v>
      </c>
      <c r="AG129">
        <v>-1</v>
      </c>
      <c r="AH129">
        <v>-1</v>
      </c>
      <c r="AI129">
        <v>0</v>
      </c>
      <c r="AJ129">
        <v>6</v>
      </c>
      <c r="AK129" t="str">
        <f>VLOOKUP(AJ129, Lookups!$B$23:$C$28, 2, FALSE)</f>
        <v>Darkness (Unlit)</v>
      </c>
      <c r="AL129">
        <v>2</v>
      </c>
      <c r="AM129" t="str">
        <f>VLOOKUP(AL129, Lookups!$B$30:$C$39, 2, FALSE)</f>
        <v>Rain</v>
      </c>
      <c r="AN129">
        <v>2</v>
      </c>
      <c r="AO129" t="str">
        <f>VLOOKUP(AN129, Lookups!$B$41:$C$49, 2, FALSE)</f>
        <v>Wet / damp</v>
      </c>
      <c r="AP129">
        <v>-1</v>
      </c>
      <c r="AQ129">
        <v>-1</v>
      </c>
      <c r="AR129">
        <v>0</v>
      </c>
      <c r="AS129">
        <v>2</v>
      </c>
      <c r="AT129">
        <v>1</v>
      </c>
      <c r="AU129">
        <v>2</v>
      </c>
      <c r="AV129" t="s">
        <v>149</v>
      </c>
      <c r="AW129">
        <v>3</v>
      </c>
      <c r="AX129">
        <v>1</v>
      </c>
      <c r="AY129">
        <v>0</v>
      </c>
      <c r="AZ129">
        <v>1</v>
      </c>
    </row>
    <row r="130" spans="1:52" x14ac:dyDescent="0.35">
      <c r="A130">
        <v>2025221537941</v>
      </c>
      <c r="B130">
        <v>2025</v>
      </c>
      <c r="C130">
        <v>221537941</v>
      </c>
      <c r="D130">
        <v>398364</v>
      </c>
      <c r="E130">
        <v>248898</v>
      </c>
      <c r="F130">
        <v>-2.0253199999999998</v>
      </c>
      <c r="G130">
        <v>52.138379999999998</v>
      </c>
      <c r="H130">
        <v>22</v>
      </c>
      <c r="I130">
        <v>3</v>
      </c>
      <c r="J130" t="str">
        <f>VLOOKUP(I130, Lookups!$B$1:$C$4, 2, FALSE)</f>
        <v>Slight</v>
      </c>
      <c r="K130">
        <v>1</v>
      </c>
      <c r="L130">
        <v>1</v>
      </c>
      <c r="M130" s="1">
        <v>45662</v>
      </c>
      <c r="N130">
        <v>1</v>
      </c>
      <c r="O130" t="str">
        <f>VLOOKUP(N130, Lookups!$B$6:$C$12, 2, FALSE)</f>
        <v>Sunday</v>
      </c>
      <c r="P130" s="2">
        <v>0.75</v>
      </c>
      <c r="Q130">
        <v>-1</v>
      </c>
      <c r="R130" t="s">
        <v>54</v>
      </c>
      <c r="S130" t="s">
        <v>45</v>
      </c>
      <c r="T130" t="s">
        <v>45</v>
      </c>
      <c r="U130">
        <v>6</v>
      </c>
      <c r="V130" t="str">
        <f>VLOOKUP(U130, Lookups!$B$51:$C$57, 2, FALSE)</f>
        <v>Unclassified</v>
      </c>
      <c r="W130">
        <v>0</v>
      </c>
      <c r="X130" t="s">
        <v>362</v>
      </c>
      <c r="Y130">
        <v>6</v>
      </c>
      <c r="Z130" t="str">
        <f>VLOOKUP(Y130, Lookups!$B$14:$C$21, 2, FALSE)</f>
        <v>Single carriageway</v>
      </c>
      <c r="AA130">
        <v>50</v>
      </c>
      <c r="AB130">
        <v>-1</v>
      </c>
      <c r="AC130">
        <v>0</v>
      </c>
      <c r="AD130">
        <v>-1</v>
      </c>
      <c r="AE130">
        <v>6</v>
      </c>
      <c r="AF130">
        <v>0</v>
      </c>
      <c r="AG130">
        <v>-1</v>
      </c>
      <c r="AH130">
        <v>-1</v>
      </c>
      <c r="AI130">
        <v>0</v>
      </c>
      <c r="AJ130">
        <v>6</v>
      </c>
      <c r="AK130" t="str">
        <f>VLOOKUP(AJ130, Lookups!$B$23:$C$28, 2, FALSE)</f>
        <v>Darkness (Unlit)</v>
      </c>
      <c r="AL130">
        <v>2</v>
      </c>
      <c r="AM130" t="str">
        <f>VLOOKUP(AL130, Lookups!$B$30:$C$39, 2, FALSE)</f>
        <v>Rain</v>
      </c>
      <c r="AN130">
        <v>2</v>
      </c>
      <c r="AO130" t="str">
        <f>VLOOKUP(AN130, Lookups!$B$41:$C$49, 2, FALSE)</f>
        <v>Wet / damp</v>
      </c>
      <c r="AP130">
        <v>-1</v>
      </c>
      <c r="AQ130">
        <v>-1</v>
      </c>
      <c r="AR130">
        <v>0</v>
      </c>
      <c r="AS130">
        <v>2</v>
      </c>
      <c r="AT130">
        <v>1</v>
      </c>
      <c r="AU130">
        <v>2</v>
      </c>
      <c r="AV130" t="s">
        <v>150</v>
      </c>
      <c r="AW130">
        <v>3</v>
      </c>
      <c r="AX130">
        <v>1</v>
      </c>
      <c r="AY130">
        <v>0</v>
      </c>
      <c r="AZ130">
        <v>1</v>
      </c>
    </row>
    <row r="131" spans="1:52" x14ac:dyDescent="0.35">
      <c r="A131">
        <v>2025221643099</v>
      </c>
      <c r="B131">
        <v>2025</v>
      </c>
      <c r="C131">
        <v>221643099</v>
      </c>
      <c r="D131">
        <v>403771</v>
      </c>
      <c r="E131">
        <v>244332</v>
      </c>
      <c r="F131">
        <v>-1.9463699999999999</v>
      </c>
      <c r="G131">
        <v>52.097320000000003</v>
      </c>
      <c r="H131">
        <v>22</v>
      </c>
      <c r="I131">
        <v>3</v>
      </c>
      <c r="J131" t="str">
        <f>VLOOKUP(I131, Lookups!$B$1:$C$4, 2, FALSE)</f>
        <v>Slight</v>
      </c>
      <c r="K131">
        <v>1</v>
      </c>
      <c r="L131">
        <v>1</v>
      </c>
      <c r="M131" s="1">
        <v>45917</v>
      </c>
      <c r="N131">
        <v>4</v>
      </c>
      <c r="O131" t="str">
        <f>VLOOKUP(N131, Lookups!$B$6:$C$12, 2, FALSE)</f>
        <v>Wednesday</v>
      </c>
      <c r="P131" s="2">
        <v>0.34027777777777779</v>
      </c>
      <c r="Q131">
        <v>-1</v>
      </c>
      <c r="R131" t="s">
        <v>54</v>
      </c>
      <c r="S131" t="s">
        <v>45</v>
      </c>
      <c r="T131" t="s">
        <v>45</v>
      </c>
      <c r="U131">
        <v>3</v>
      </c>
      <c r="V131" t="str">
        <f>VLOOKUP(U131, Lookups!$B$51:$C$57, 2, FALSE)</f>
        <v>A</v>
      </c>
      <c r="W131">
        <v>4184</v>
      </c>
      <c r="X131" t="str">
        <f>V131&amp;W131</f>
        <v>A4184</v>
      </c>
      <c r="Y131">
        <v>6</v>
      </c>
      <c r="Z131" t="str">
        <f>VLOOKUP(Y131, Lookups!$B$14:$C$21, 2, FALSE)</f>
        <v>Single carriageway</v>
      </c>
      <c r="AA131">
        <v>30</v>
      </c>
      <c r="AB131">
        <v>-1</v>
      </c>
      <c r="AC131">
        <v>0</v>
      </c>
      <c r="AD131">
        <v>-1</v>
      </c>
      <c r="AE131">
        <v>6</v>
      </c>
      <c r="AF131">
        <v>0</v>
      </c>
      <c r="AG131">
        <v>-1</v>
      </c>
      <c r="AH131">
        <v>-1</v>
      </c>
      <c r="AI131">
        <v>-1</v>
      </c>
      <c r="AJ131">
        <v>1</v>
      </c>
      <c r="AK131" t="str">
        <f>VLOOKUP(AJ131, Lookups!$B$23:$C$28, 2, FALSE)</f>
        <v>Daylight</v>
      </c>
      <c r="AL131">
        <v>1</v>
      </c>
      <c r="AM131" t="str">
        <f>VLOOKUP(AL131, Lookups!$B$30:$C$39, 2, FALSE)</f>
        <v>Fine / Clear</v>
      </c>
      <c r="AN131">
        <v>1</v>
      </c>
      <c r="AO131" t="str">
        <f>VLOOKUP(AN131, Lookups!$B$41:$C$49, 2, FALSE)</f>
        <v>Dry</v>
      </c>
      <c r="AP131">
        <v>-1</v>
      </c>
      <c r="AQ131">
        <v>-1</v>
      </c>
      <c r="AR131">
        <v>0</v>
      </c>
      <c r="AS131">
        <v>1</v>
      </c>
      <c r="AT131">
        <v>3</v>
      </c>
      <c r="AU131">
        <v>2</v>
      </c>
      <c r="AV131" t="s">
        <v>106</v>
      </c>
      <c r="AW131">
        <v>3</v>
      </c>
      <c r="AX131">
        <v>1</v>
      </c>
      <c r="AY131">
        <v>0</v>
      </c>
      <c r="AZ131">
        <v>1</v>
      </c>
    </row>
    <row r="132" spans="1:52" x14ac:dyDescent="0.35">
      <c r="A132">
        <v>2025221674884</v>
      </c>
      <c r="B132">
        <v>2025</v>
      </c>
      <c r="C132">
        <v>221674884</v>
      </c>
      <c r="D132">
        <v>396521</v>
      </c>
      <c r="E132">
        <v>271493</v>
      </c>
      <c r="F132">
        <v>-2.0524900000000001</v>
      </c>
      <c r="G132">
        <v>52.341500000000003</v>
      </c>
      <c r="H132">
        <v>22</v>
      </c>
      <c r="I132">
        <v>2</v>
      </c>
      <c r="J132" t="str">
        <f>VLOOKUP(I132, Lookups!$B$1:$C$4, 2, FALSE)</f>
        <v>Serious</v>
      </c>
      <c r="K132">
        <v>2</v>
      </c>
      <c r="L132">
        <v>1</v>
      </c>
      <c r="M132" s="1">
        <v>45988</v>
      </c>
      <c r="N132">
        <v>5</v>
      </c>
      <c r="O132" t="str">
        <f>VLOOKUP(N132, Lookups!$B$6:$C$12, 2, FALSE)</f>
        <v>Thursday</v>
      </c>
      <c r="P132" s="2">
        <v>0.40625</v>
      </c>
      <c r="Q132">
        <v>-1</v>
      </c>
      <c r="R132" t="s">
        <v>47</v>
      </c>
      <c r="S132" t="s">
        <v>45</v>
      </c>
      <c r="T132" t="s">
        <v>45</v>
      </c>
      <c r="U132">
        <v>6</v>
      </c>
      <c r="V132" t="str">
        <f>VLOOKUP(U132, Lookups!$B$51:$C$57, 2, FALSE)</f>
        <v>Unclassified</v>
      </c>
      <c r="W132">
        <v>0</v>
      </c>
      <c r="X132" t="s">
        <v>362</v>
      </c>
      <c r="Y132">
        <v>6</v>
      </c>
      <c r="Z132" t="str">
        <f>VLOOKUP(Y132, Lookups!$B$14:$C$21, 2, FALSE)</f>
        <v>Single carriageway</v>
      </c>
      <c r="AA132">
        <v>30</v>
      </c>
      <c r="AB132">
        <v>-1</v>
      </c>
      <c r="AC132">
        <v>19</v>
      </c>
      <c r="AD132">
        <v>4</v>
      </c>
      <c r="AE132">
        <v>6</v>
      </c>
      <c r="AF132">
        <v>0</v>
      </c>
      <c r="AG132">
        <v>-1</v>
      </c>
      <c r="AH132">
        <v>-1</v>
      </c>
      <c r="AI132">
        <v>0</v>
      </c>
      <c r="AJ132">
        <v>1</v>
      </c>
      <c r="AK132" t="str">
        <f>VLOOKUP(AJ132, Lookups!$B$23:$C$28, 2, FALSE)</f>
        <v>Daylight</v>
      </c>
      <c r="AL132">
        <v>1</v>
      </c>
      <c r="AM132" t="str">
        <f>VLOOKUP(AL132, Lookups!$B$30:$C$39, 2, FALSE)</f>
        <v>Fine / Clear</v>
      </c>
      <c r="AN132">
        <v>1</v>
      </c>
      <c r="AO132" t="str">
        <f>VLOOKUP(AN132, Lookups!$B$41:$C$49, 2, FALSE)</f>
        <v>Dry</v>
      </c>
      <c r="AP132">
        <v>-1</v>
      </c>
      <c r="AQ132">
        <v>-1</v>
      </c>
      <c r="AR132">
        <v>0</v>
      </c>
      <c r="AS132">
        <v>1</v>
      </c>
      <c r="AT132">
        <v>2</v>
      </c>
      <c r="AU132">
        <v>2</v>
      </c>
      <c r="AV132" t="s">
        <v>113</v>
      </c>
      <c r="AW132">
        <v>7</v>
      </c>
      <c r="AX132">
        <v>1</v>
      </c>
      <c r="AY132">
        <v>1</v>
      </c>
      <c r="AZ132">
        <v>0</v>
      </c>
    </row>
    <row r="133" spans="1:52" x14ac:dyDescent="0.35">
      <c r="A133">
        <v>2025221676637</v>
      </c>
      <c r="B133">
        <v>2025</v>
      </c>
      <c r="C133">
        <v>221676637</v>
      </c>
      <c r="D133">
        <v>403902</v>
      </c>
      <c r="E133">
        <v>265919</v>
      </c>
      <c r="F133">
        <v>-1.94421</v>
      </c>
      <c r="G133">
        <v>52.29139</v>
      </c>
      <c r="H133">
        <v>22</v>
      </c>
      <c r="I133">
        <v>3</v>
      </c>
      <c r="J133" t="str">
        <f>VLOOKUP(I133, Lookups!$B$1:$C$4, 2, FALSE)</f>
        <v>Slight</v>
      </c>
      <c r="K133">
        <v>2</v>
      </c>
      <c r="L133">
        <v>1</v>
      </c>
      <c r="M133" s="1">
        <v>45992</v>
      </c>
      <c r="N133">
        <v>2</v>
      </c>
      <c r="O133" t="str">
        <f>VLOOKUP(N133, Lookups!$B$6:$C$12, 2, FALSE)</f>
        <v>Monday</v>
      </c>
      <c r="P133" s="2">
        <v>0.4513888888888889</v>
      </c>
      <c r="Q133">
        <v>-1</v>
      </c>
      <c r="R133" t="s">
        <v>69</v>
      </c>
      <c r="S133" t="s">
        <v>45</v>
      </c>
      <c r="T133" t="s">
        <v>45</v>
      </c>
      <c r="U133">
        <v>6</v>
      </c>
      <c r="V133" t="str">
        <f>VLOOKUP(U133, Lookups!$B$51:$C$57, 2, FALSE)</f>
        <v>Unclassified</v>
      </c>
      <c r="W133">
        <v>0</v>
      </c>
      <c r="X133" t="s">
        <v>362</v>
      </c>
      <c r="Y133">
        <v>6</v>
      </c>
      <c r="Z133" t="str">
        <f>VLOOKUP(Y133, Lookups!$B$14:$C$21, 2, FALSE)</f>
        <v>Single carriageway</v>
      </c>
      <c r="AA133">
        <v>30</v>
      </c>
      <c r="AB133">
        <v>-1</v>
      </c>
      <c r="AC133">
        <v>13</v>
      </c>
      <c r="AD133">
        <v>4</v>
      </c>
      <c r="AE133">
        <v>6</v>
      </c>
      <c r="AF133">
        <v>0</v>
      </c>
      <c r="AG133">
        <v>-1</v>
      </c>
      <c r="AH133">
        <v>-1</v>
      </c>
      <c r="AI133">
        <v>14</v>
      </c>
      <c r="AJ133">
        <v>1</v>
      </c>
      <c r="AK133" t="str">
        <f>VLOOKUP(AJ133, Lookups!$B$23:$C$28, 2, FALSE)</f>
        <v>Daylight</v>
      </c>
      <c r="AL133">
        <v>2</v>
      </c>
      <c r="AM133" t="str">
        <f>VLOOKUP(AL133, Lookups!$B$30:$C$39, 2, FALSE)</f>
        <v>Rain</v>
      </c>
      <c r="AN133">
        <v>2</v>
      </c>
      <c r="AO133" t="str">
        <f>VLOOKUP(AN133, Lookups!$B$41:$C$49, 2, FALSE)</f>
        <v>Wet / damp</v>
      </c>
      <c r="AP133">
        <v>-1</v>
      </c>
      <c r="AQ133">
        <v>-1</v>
      </c>
      <c r="AR133">
        <v>0</v>
      </c>
      <c r="AS133">
        <v>2</v>
      </c>
      <c r="AT133">
        <v>3</v>
      </c>
      <c r="AU133">
        <v>2</v>
      </c>
      <c r="AV133" t="s">
        <v>151</v>
      </c>
      <c r="AW133">
        <v>3</v>
      </c>
      <c r="AX133">
        <v>1</v>
      </c>
      <c r="AY133">
        <v>0</v>
      </c>
      <c r="AZ133">
        <v>1</v>
      </c>
    </row>
    <row r="134" spans="1:52" x14ac:dyDescent="0.35">
      <c r="A134">
        <v>2025221554600</v>
      </c>
      <c r="B134">
        <v>2025</v>
      </c>
      <c r="C134">
        <v>221554600</v>
      </c>
      <c r="D134">
        <v>388802</v>
      </c>
      <c r="E134">
        <v>279573</v>
      </c>
      <c r="F134">
        <v>-2.1660599999999999</v>
      </c>
      <c r="G134">
        <v>52.41404</v>
      </c>
      <c r="H134">
        <v>22</v>
      </c>
      <c r="I134">
        <v>2</v>
      </c>
      <c r="J134" t="str">
        <f>VLOOKUP(I134, Lookups!$B$1:$C$4, 2, FALSE)</f>
        <v>Serious</v>
      </c>
      <c r="K134">
        <v>1</v>
      </c>
      <c r="L134">
        <v>1</v>
      </c>
      <c r="M134" s="1">
        <v>45699</v>
      </c>
      <c r="N134">
        <v>3</v>
      </c>
      <c r="O134" t="str">
        <f>VLOOKUP(N134, Lookups!$B$6:$C$12, 2, FALSE)</f>
        <v>Tuesday</v>
      </c>
      <c r="P134" s="2">
        <v>0.39097222222222222</v>
      </c>
      <c r="Q134">
        <v>-1</v>
      </c>
      <c r="R134" t="s">
        <v>44</v>
      </c>
      <c r="S134" t="s">
        <v>45</v>
      </c>
      <c r="T134" t="s">
        <v>45</v>
      </c>
      <c r="U134">
        <v>6</v>
      </c>
      <c r="V134" t="str">
        <f>VLOOKUP(U134, Lookups!$B$51:$C$57, 2, FALSE)</f>
        <v>Unclassified</v>
      </c>
      <c r="W134">
        <v>0</v>
      </c>
      <c r="X134" t="s">
        <v>362</v>
      </c>
      <c r="Y134">
        <v>6</v>
      </c>
      <c r="Z134" t="str">
        <f>VLOOKUP(Y134, Lookups!$B$14:$C$21, 2, FALSE)</f>
        <v>Single carriageway</v>
      </c>
      <c r="AA134">
        <v>30</v>
      </c>
      <c r="AB134">
        <v>-1</v>
      </c>
      <c r="AC134">
        <v>0</v>
      </c>
      <c r="AD134">
        <v>-1</v>
      </c>
      <c r="AE134">
        <v>0</v>
      </c>
      <c r="AF134">
        <v>-1</v>
      </c>
      <c r="AG134">
        <v>-1</v>
      </c>
      <c r="AH134">
        <v>-1</v>
      </c>
      <c r="AI134">
        <v>0</v>
      </c>
      <c r="AJ134">
        <v>1</v>
      </c>
      <c r="AK134" t="str">
        <f>VLOOKUP(AJ134, Lookups!$B$23:$C$28, 2, FALSE)</f>
        <v>Daylight</v>
      </c>
      <c r="AL134">
        <v>1</v>
      </c>
      <c r="AM134" t="str">
        <f>VLOOKUP(AL134, Lookups!$B$30:$C$39, 2, FALSE)</f>
        <v>Fine / Clear</v>
      </c>
      <c r="AN134">
        <v>1</v>
      </c>
      <c r="AO134" t="str">
        <f>VLOOKUP(AN134, Lookups!$B$41:$C$49, 2, FALSE)</f>
        <v>Dry</v>
      </c>
      <c r="AP134">
        <v>-1</v>
      </c>
      <c r="AQ134">
        <v>-1</v>
      </c>
      <c r="AR134">
        <v>0</v>
      </c>
      <c r="AS134">
        <v>2</v>
      </c>
      <c r="AT134">
        <v>3</v>
      </c>
      <c r="AU134">
        <v>2</v>
      </c>
      <c r="AV134" t="s">
        <v>80</v>
      </c>
      <c r="AW134">
        <v>7</v>
      </c>
      <c r="AX134">
        <v>1</v>
      </c>
      <c r="AY134">
        <v>1</v>
      </c>
      <c r="AZ134">
        <v>0</v>
      </c>
    </row>
    <row r="135" spans="1:52" x14ac:dyDescent="0.35">
      <c r="A135">
        <v>2025221571606</v>
      </c>
      <c r="B135">
        <v>2025</v>
      </c>
      <c r="C135">
        <v>221571606</v>
      </c>
      <c r="D135">
        <v>379837</v>
      </c>
      <c r="E135">
        <v>276084</v>
      </c>
      <c r="F135">
        <v>-2.29765</v>
      </c>
      <c r="G135">
        <v>52.38241</v>
      </c>
      <c r="H135">
        <v>22</v>
      </c>
      <c r="I135">
        <v>3</v>
      </c>
      <c r="J135" t="str">
        <f>VLOOKUP(I135, Lookups!$B$1:$C$4, 2, FALSE)</f>
        <v>Slight</v>
      </c>
      <c r="K135">
        <v>1</v>
      </c>
      <c r="L135">
        <v>1</v>
      </c>
      <c r="M135" s="1">
        <v>45744</v>
      </c>
      <c r="N135">
        <v>6</v>
      </c>
      <c r="O135" t="str">
        <f>VLOOKUP(N135, Lookups!$B$6:$C$12, 2, FALSE)</f>
        <v>Friday</v>
      </c>
      <c r="P135" s="2">
        <v>0.51944444444444449</v>
      </c>
      <c r="Q135">
        <v>-1</v>
      </c>
      <c r="R135" t="s">
        <v>44</v>
      </c>
      <c r="S135" t="s">
        <v>45</v>
      </c>
      <c r="T135" t="s">
        <v>45</v>
      </c>
      <c r="U135">
        <v>4</v>
      </c>
      <c r="V135" t="str">
        <f>VLOOKUP(U135, Lookups!$B$51:$C$57, 2, FALSE)</f>
        <v>B</v>
      </c>
      <c r="W135">
        <v>4190</v>
      </c>
      <c r="X135" t="str">
        <f t="shared" ref="X135:X143" si="18">V135&amp;W135</f>
        <v>B4190</v>
      </c>
      <c r="Y135">
        <v>6</v>
      </c>
      <c r="Z135" t="str">
        <f>VLOOKUP(Y135, Lookups!$B$14:$C$21, 2, FALSE)</f>
        <v>Single carriageway</v>
      </c>
      <c r="AA135">
        <v>30</v>
      </c>
      <c r="AB135">
        <v>-1</v>
      </c>
      <c r="AC135">
        <v>0</v>
      </c>
      <c r="AD135">
        <v>-1</v>
      </c>
      <c r="AE135">
        <v>6</v>
      </c>
      <c r="AF135">
        <v>0</v>
      </c>
      <c r="AG135">
        <v>-1</v>
      </c>
      <c r="AH135">
        <v>-1</v>
      </c>
      <c r="AI135">
        <v>0</v>
      </c>
      <c r="AJ135">
        <v>1</v>
      </c>
      <c r="AK135" t="str">
        <f>VLOOKUP(AJ135, Lookups!$B$23:$C$28, 2, FALSE)</f>
        <v>Daylight</v>
      </c>
      <c r="AL135">
        <v>1</v>
      </c>
      <c r="AM135" t="str">
        <f>VLOOKUP(AL135, Lookups!$B$30:$C$39, 2, FALSE)</f>
        <v>Fine / Clear</v>
      </c>
      <c r="AN135">
        <v>1</v>
      </c>
      <c r="AO135" t="str">
        <f>VLOOKUP(AN135, Lookups!$B$41:$C$49, 2, FALSE)</f>
        <v>Dry</v>
      </c>
      <c r="AP135">
        <v>-1</v>
      </c>
      <c r="AQ135">
        <v>-1</v>
      </c>
      <c r="AR135">
        <v>0</v>
      </c>
      <c r="AS135">
        <v>2</v>
      </c>
      <c r="AT135">
        <v>1</v>
      </c>
      <c r="AU135">
        <v>2</v>
      </c>
      <c r="AV135" t="s">
        <v>91</v>
      </c>
      <c r="AW135">
        <v>3</v>
      </c>
      <c r="AX135">
        <v>1</v>
      </c>
      <c r="AY135">
        <v>0</v>
      </c>
      <c r="AZ135">
        <v>1</v>
      </c>
    </row>
    <row r="136" spans="1:52" x14ac:dyDescent="0.35">
      <c r="A136">
        <v>2025221604233</v>
      </c>
      <c r="B136">
        <v>2025</v>
      </c>
      <c r="C136">
        <v>221604233</v>
      </c>
      <c r="D136">
        <v>391811</v>
      </c>
      <c r="E136">
        <v>265411</v>
      </c>
      <c r="F136">
        <v>-2.12147</v>
      </c>
      <c r="G136">
        <v>52.286769999999997</v>
      </c>
      <c r="H136">
        <v>22</v>
      </c>
      <c r="I136">
        <v>2</v>
      </c>
      <c r="J136" t="str">
        <f>VLOOKUP(I136, Lookups!$B$1:$C$4, 2, FALSE)</f>
        <v>Serious</v>
      </c>
      <c r="K136">
        <v>2</v>
      </c>
      <c r="L136">
        <v>1</v>
      </c>
      <c r="M136" s="1">
        <v>45825</v>
      </c>
      <c r="N136">
        <v>3</v>
      </c>
      <c r="O136" t="str">
        <f>VLOOKUP(N136, Lookups!$B$6:$C$12, 2, FALSE)</f>
        <v>Tuesday</v>
      </c>
      <c r="P136" s="2">
        <v>0.98888888888888893</v>
      </c>
      <c r="Q136">
        <v>-1</v>
      </c>
      <c r="R136" t="s">
        <v>54</v>
      </c>
      <c r="S136" t="s">
        <v>45</v>
      </c>
      <c r="T136" t="s">
        <v>45</v>
      </c>
      <c r="U136">
        <v>3</v>
      </c>
      <c r="V136" t="str">
        <f>VLOOKUP(U136, Lookups!$B$51:$C$57, 2, FALSE)</f>
        <v>A</v>
      </c>
      <c r="W136">
        <v>38</v>
      </c>
      <c r="X136" t="str">
        <f t="shared" si="18"/>
        <v>A38</v>
      </c>
      <c r="Y136">
        <v>6</v>
      </c>
      <c r="Z136" t="str">
        <f>VLOOKUP(Y136, Lookups!$B$14:$C$21, 2, FALSE)</f>
        <v>Single carriageway</v>
      </c>
      <c r="AA136">
        <v>60</v>
      </c>
      <c r="AB136">
        <v>-1</v>
      </c>
      <c r="AC136">
        <v>19</v>
      </c>
      <c r="AD136">
        <v>2</v>
      </c>
      <c r="AE136">
        <v>3</v>
      </c>
      <c r="AF136">
        <v>38</v>
      </c>
      <c r="AG136">
        <v>-1</v>
      </c>
      <c r="AH136">
        <v>-1</v>
      </c>
      <c r="AI136">
        <v>14</v>
      </c>
      <c r="AJ136">
        <v>4</v>
      </c>
      <c r="AK136" t="str">
        <f>VLOOKUP(AJ136, Lookups!$B$23:$C$28, 2, FALSE)</f>
        <v>Darkness (Lit)</v>
      </c>
      <c r="AL136">
        <v>1</v>
      </c>
      <c r="AM136" t="str">
        <f>VLOOKUP(AL136, Lookups!$B$30:$C$39, 2, FALSE)</f>
        <v>Fine / Clear</v>
      </c>
      <c r="AN136">
        <v>1</v>
      </c>
      <c r="AO136" t="str">
        <f>VLOOKUP(AN136, Lookups!$B$41:$C$49, 2, FALSE)</f>
        <v>Dry</v>
      </c>
      <c r="AP136">
        <v>-1</v>
      </c>
      <c r="AQ136">
        <v>-1</v>
      </c>
      <c r="AR136">
        <v>0</v>
      </c>
      <c r="AS136">
        <v>2</v>
      </c>
      <c r="AT136">
        <v>1</v>
      </c>
      <c r="AU136">
        <v>1</v>
      </c>
      <c r="AV136" t="s">
        <v>131</v>
      </c>
      <c r="AW136">
        <v>7</v>
      </c>
      <c r="AX136">
        <v>1</v>
      </c>
      <c r="AY136">
        <v>1</v>
      </c>
      <c r="AZ136">
        <v>0</v>
      </c>
    </row>
    <row r="137" spans="1:52" x14ac:dyDescent="0.35">
      <c r="A137">
        <v>2025221673408</v>
      </c>
      <c r="B137">
        <v>2025</v>
      </c>
      <c r="C137">
        <v>221673408</v>
      </c>
      <c r="D137">
        <v>402200</v>
      </c>
      <c r="E137">
        <v>246427</v>
      </c>
      <c r="F137">
        <v>-1.96929</v>
      </c>
      <c r="G137">
        <v>52.116160000000001</v>
      </c>
      <c r="H137">
        <v>22</v>
      </c>
      <c r="I137">
        <v>3</v>
      </c>
      <c r="J137" t="str">
        <f>VLOOKUP(I137, Lookups!$B$1:$C$4, 2, FALSE)</f>
        <v>Slight</v>
      </c>
      <c r="K137">
        <v>2</v>
      </c>
      <c r="L137">
        <v>2</v>
      </c>
      <c r="M137" s="1">
        <v>45980</v>
      </c>
      <c r="N137">
        <v>4</v>
      </c>
      <c r="O137" t="str">
        <f>VLOOKUP(N137, Lookups!$B$6:$C$12, 2, FALSE)</f>
        <v>Wednesday</v>
      </c>
      <c r="P137" s="2">
        <v>0.67777777777777781</v>
      </c>
      <c r="Q137">
        <v>-1</v>
      </c>
      <c r="R137" t="s">
        <v>54</v>
      </c>
      <c r="S137" t="s">
        <v>45</v>
      </c>
      <c r="T137" t="s">
        <v>45</v>
      </c>
      <c r="U137">
        <v>3</v>
      </c>
      <c r="V137" t="str">
        <f>VLOOKUP(U137, Lookups!$B$51:$C$57, 2, FALSE)</f>
        <v>A</v>
      </c>
      <c r="W137">
        <v>44</v>
      </c>
      <c r="X137" t="str">
        <f t="shared" si="18"/>
        <v>A44</v>
      </c>
      <c r="Y137">
        <v>6</v>
      </c>
      <c r="Z137" t="str">
        <f>VLOOKUP(Y137, Lookups!$B$14:$C$21, 2, FALSE)</f>
        <v>Single carriageway</v>
      </c>
      <c r="AA137">
        <v>50</v>
      </c>
      <c r="AB137">
        <v>-1</v>
      </c>
      <c r="AC137">
        <v>0</v>
      </c>
      <c r="AD137">
        <v>-1</v>
      </c>
      <c r="AE137">
        <v>6</v>
      </c>
      <c r="AF137">
        <v>0</v>
      </c>
      <c r="AG137">
        <v>-1</v>
      </c>
      <c r="AH137">
        <v>-1</v>
      </c>
      <c r="AI137">
        <v>0</v>
      </c>
      <c r="AJ137">
        <v>6</v>
      </c>
      <c r="AK137" t="str">
        <f>VLOOKUP(AJ137, Lookups!$B$23:$C$28, 2, FALSE)</f>
        <v>Darkness (Unlit)</v>
      </c>
      <c r="AL137">
        <v>1</v>
      </c>
      <c r="AM137" t="str">
        <f>VLOOKUP(AL137, Lookups!$B$30:$C$39, 2, FALSE)</f>
        <v>Fine / Clear</v>
      </c>
      <c r="AN137">
        <v>1</v>
      </c>
      <c r="AO137" t="str">
        <f>VLOOKUP(AN137, Lookups!$B$41:$C$49, 2, FALSE)</f>
        <v>Dry</v>
      </c>
      <c r="AP137">
        <v>-1</v>
      </c>
      <c r="AQ137">
        <v>-1</v>
      </c>
      <c r="AR137">
        <v>0</v>
      </c>
      <c r="AS137">
        <v>2</v>
      </c>
      <c r="AT137">
        <v>1</v>
      </c>
      <c r="AU137">
        <v>2</v>
      </c>
      <c r="AV137" t="s">
        <v>58</v>
      </c>
      <c r="AW137">
        <v>3</v>
      </c>
      <c r="AX137">
        <v>1</v>
      </c>
      <c r="AY137">
        <v>0</v>
      </c>
      <c r="AZ137">
        <v>1</v>
      </c>
    </row>
    <row r="138" spans="1:52" x14ac:dyDescent="0.35">
      <c r="A138">
        <v>2025221676775</v>
      </c>
      <c r="B138">
        <v>2025</v>
      </c>
      <c r="C138">
        <v>221676775</v>
      </c>
      <c r="D138">
        <v>383487</v>
      </c>
      <c r="E138">
        <v>276444</v>
      </c>
      <c r="F138">
        <v>-2.2440500000000001</v>
      </c>
      <c r="G138">
        <v>52.385770000000001</v>
      </c>
      <c r="H138">
        <v>22</v>
      </c>
      <c r="I138">
        <v>3</v>
      </c>
      <c r="J138" t="str">
        <f>VLOOKUP(I138, Lookups!$B$1:$C$4, 2, FALSE)</f>
        <v>Slight</v>
      </c>
      <c r="K138">
        <v>2</v>
      </c>
      <c r="L138">
        <v>1</v>
      </c>
      <c r="M138" s="1">
        <v>45991</v>
      </c>
      <c r="N138">
        <v>1</v>
      </c>
      <c r="O138" t="str">
        <f>VLOOKUP(N138, Lookups!$B$6:$C$12, 2, FALSE)</f>
        <v>Sunday</v>
      </c>
      <c r="P138" s="2">
        <v>0.6791666666666667</v>
      </c>
      <c r="Q138">
        <v>-1</v>
      </c>
      <c r="R138" t="s">
        <v>44</v>
      </c>
      <c r="S138" t="s">
        <v>45</v>
      </c>
      <c r="T138" t="s">
        <v>45</v>
      </c>
      <c r="U138">
        <v>3</v>
      </c>
      <c r="V138" t="str">
        <f>VLOOKUP(U138, Lookups!$B$51:$C$57, 2, FALSE)</f>
        <v>A</v>
      </c>
      <c r="W138">
        <v>451</v>
      </c>
      <c r="X138" t="str">
        <f t="shared" si="18"/>
        <v>A451</v>
      </c>
      <c r="Y138">
        <v>1</v>
      </c>
      <c r="Z138" t="str">
        <f>VLOOKUP(Y138, Lookups!$B$14:$C$21, 2, FALSE)</f>
        <v>Roundabout</v>
      </c>
      <c r="AA138">
        <v>30</v>
      </c>
      <c r="AB138">
        <v>-1</v>
      </c>
      <c r="AC138">
        <v>-1</v>
      </c>
      <c r="AD138">
        <v>4</v>
      </c>
      <c r="AE138">
        <v>3</v>
      </c>
      <c r="AF138">
        <v>448</v>
      </c>
      <c r="AG138">
        <v>-1</v>
      </c>
      <c r="AH138">
        <v>-1</v>
      </c>
      <c r="AI138">
        <v>0</v>
      </c>
      <c r="AJ138">
        <v>4</v>
      </c>
      <c r="AK138" t="str">
        <f>VLOOKUP(AJ138, Lookups!$B$23:$C$28, 2, FALSE)</f>
        <v>Darkness (Lit)</v>
      </c>
      <c r="AL138">
        <v>1</v>
      </c>
      <c r="AM138" t="str">
        <f>VLOOKUP(AL138, Lookups!$B$30:$C$39, 2, FALSE)</f>
        <v>Fine / Clear</v>
      </c>
      <c r="AN138">
        <v>1</v>
      </c>
      <c r="AO138" t="str">
        <f>VLOOKUP(AN138, Lookups!$B$41:$C$49, 2, FALSE)</f>
        <v>Dry</v>
      </c>
      <c r="AP138">
        <v>-1</v>
      </c>
      <c r="AQ138">
        <v>-1</v>
      </c>
      <c r="AR138">
        <v>0</v>
      </c>
      <c r="AS138">
        <v>1</v>
      </c>
      <c r="AT138">
        <v>3</v>
      </c>
      <c r="AU138">
        <v>2</v>
      </c>
      <c r="AV138" t="s">
        <v>152</v>
      </c>
      <c r="AW138">
        <v>3</v>
      </c>
      <c r="AX138">
        <v>1</v>
      </c>
      <c r="AY138">
        <v>0</v>
      </c>
      <c r="AZ138">
        <v>1</v>
      </c>
    </row>
    <row r="139" spans="1:52" x14ac:dyDescent="0.35">
      <c r="A139">
        <v>2025221554167</v>
      </c>
      <c r="B139">
        <v>2025</v>
      </c>
      <c r="C139">
        <v>221554167</v>
      </c>
      <c r="D139">
        <v>380876</v>
      </c>
      <c r="E139">
        <v>271164</v>
      </c>
      <c r="F139">
        <v>-2.2821099999999999</v>
      </c>
      <c r="G139">
        <v>52.33822</v>
      </c>
      <c r="H139">
        <v>22</v>
      </c>
      <c r="I139">
        <v>3</v>
      </c>
      <c r="J139" t="str">
        <f>VLOOKUP(I139, Lookups!$B$1:$C$4, 2, FALSE)</f>
        <v>Slight</v>
      </c>
      <c r="K139">
        <v>1</v>
      </c>
      <c r="L139">
        <v>1</v>
      </c>
      <c r="M139" s="1">
        <v>45690</v>
      </c>
      <c r="N139">
        <v>1</v>
      </c>
      <c r="O139" t="str">
        <f>VLOOKUP(N139, Lookups!$B$6:$C$12, 2, FALSE)</f>
        <v>Sunday</v>
      </c>
      <c r="P139" s="2">
        <v>6.25E-2</v>
      </c>
      <c r="Q139">
        <v>-1</v>
      </c>
      <c r="R139" t="s">
        <v>44</v>
      </c>
      <c r="S139" t="s">
        <v>45</v>
      </c>
      <c r="T139" t="s">
        <v>45</v>
      </c>
      <c r="U139">
        <v>3</v>
      </c>
      <c r="V139" t="str">
        <f>VLOOKUP(U139, Lookups!$B$51:$C$57, 2, FALSE)</f>
        <v>A</v>
      </c>
      <c r="W139">
        <v>451</v>
      </c>
      <c r="X139" t="str">
        <f t="shared" si="18"/>
        <v>A451</v>
      </c>
      <c r="Y139">
        <v>6</v>
      </c>
      <c r="Z139" t="str">
        <f>VLOOKUP(Y139, Lookups!$B$14:$C$21, 2, FALSE)</f>
        <v>Single carriageway</v>
      </c>
      <c r="AA139">
        <v>30</v>
      </c>
      <c r="AB139">
        <v>-1</v>
      </c>
      <c r="AC139">
        <v>13</v>
      </c>
      <c r="AD139">
        <v>4</v>
      </c>
      <c r="AE139">
        <v>6</v>
      </c>
      <c r="AF139">
        <v>0</v>
      </c>
      <c r="AG139">
        <v>-1</v>
      </c>
      <c r="AH139">
        <v>-1</v>
      </c>
      <c r="AI139">
        <v>0</v>
      </c>
      <c r="AJ139">
        <v>4</v>
      </c>
      <c r="AK139" t="str">
        <f>VLOOKUP(AJ139, Lookups!$B$23:$C$28, 2, FALSE)</f>
        <v>Darkness (Lit)</v>
      </c>
      <c r="AL139">
        <v>1</v>
      </c>
      <c r="AM139" t="str">
        <f>VLOOKUP(AL139, Lookups!$B$30:$C$39, 2, FALSE)</f>
        <v>Fine / Clear</v>
      </c>
      <c r="AN139">
        <v>1</v>
      </c>
      <c r="AO139" t="str">
        <f>VLOOKUP(AN139, Lookups!$B$41:$C$49, 2, FALSE)</f>
        <v>Dry</v>
      </c>
      <c r="AP139">
        <v>-1</v>
      </c>
      <c r="AQ139">
        <v>-1</v>
      </c>
      <c r="AR139">
        <v>0</v>
      </c>
      <c r="AS139">
        <v>1</v>
      </c>
      <c r="AT139">
        <v>1</v>
      </c>
      <c r="AU139">
        <v>2</v>
      </c>
      <c r="AV139" t="s">
        <v>57</v>
      </c>
      <c r="AW139">
        <v>3</v>
      </c>
      <c r="AX139">
        <v>1</v>
      </c>
      <c r="AY139">
        <v>0</v>
      </c>
      <c r="AZ139">
        <v>1</v>
      </c>
    </row>
    <row r="140" spans="1:52" x14ac:dyDescent="0.35">
      <c r="A140">
        <v>2025221562707</v>
      </c>
      <c r="B140">
        <v>2025</v>
      </c>
      <c r="C140">
        <v>221562707</v>
      </c>
      <c r="D140">
        <v>383461</v>
      </c>
      <c r="E140">
        <v>270992</v>
      </c>
      <c r="F140">
        <v>-2.2441599999999999</v>
      </c>
      <c r="G140">
        <v>52.336759999999998</v>
      </c>
      <c r="H140">
        <v>22</v>
      </c>
      <c r="I140">
        <v>2</v>
      </c>
      <c r="J140" t="str">
        <f>VLOOKUP(I140, Lookups!$B$1:$C$4, 2, FALSE)</f>
        <v>Serious</v>
      </c>
      <c r="K140">
        <v>3</v>
      </c>
      <c r="L140">
        <v>1</v>
      </c>
      <c r="M140" s="1">
        <v>45724</v>
      </c>
      <c r="N140">
        <v>7</v>
      </c>
      <c r="O140" t="str">
        <f>VLOOKUP(N140, Lookups!$B$6:$C$12, 2, FALSE)</f>
        <v>Saturday</v>
      </c>
      <c r="P140" s="2">
        <v>0.42708333333333331</v>
      </c>
      <c r="Q140">
        <v>-1</v>
      </c>
      <c r="R140" t="s">
        <v>54</v>
      </c>
      <c r="S140" t="s">
        <v>45</v>
      </c>
      <c r="T140" t="s">
        <v>45</v>
      </c>
      <c r="U140">
        <v>4</v>
      </c>
      <c r="V140" t="str">
        <f>VLOOKUP(U140, Lookups!$B$51:$C$57, 2, FALSE)</f>
        <v>B</v>
      </c>
      <c r="W140">
        <v>4193</v>
      </c>
      <c r="X140" t="str">
        <f t="shared" si="18"/>
        <v>B4193</v>
      </c>
      <c r="Y140">
        <v>6</v>
      </c>
      <c r="Z140" t="str">
        <f>VLOOKUP(Y140, Lookups!$B$14:$C$21, 2, FALSE)</f>
        <v>Single carriageway</v>
      </c>
      <c r="AA140">
        <v>30</v>
      </c>
      <c r="AB140">
        <v>-1</v>
      </c>
      <c r="AC140">
        <v>13</v>
      </c>
      <c r="AD140">
        <v>4</v>
      </c>
      <c r="AE140">
        <v>6</v>
      </c>
      <c r="AF140">
        <v>0</v>
      </c>
      <c r="AG140">
        <v>-1</v>
      </c>
      <c r="AH140">
        <v>-1</v>
      </c>
      <c r="AI140">
        <v>0</v>
      </c>
      <c r="AJ140">
        <v>1</v>
      </c>
      <c r="AK140" t="str">
        <f>VLOOKUP(AJ140, Lookups!$B$23:$C$28, 2, FALSE)</f>
        <v>Daylight</v>
      </c>
      <c r="AL140">
        <v>1</v>
      </c>
      <c r="AM140" t="str">
        <f>VLOOKUP(AL140, Lookups!$B$30:$C$39, 2, FALSE)</f>
        <v>Fine / Clear</v>
      </c>
      <c r="AN140">
        <v>1</v>
      </c>
      <c r="AO140" t="str">
        <f>VLOOKUP(AN140, Lookups!$B$41:$C$49, 2, FALSE)</f>
        <v>Dry</v>
      </c>
      <c r="AP140">
        <v>-1</v>
      </c>
      <c r="AQ140">
        <v>-1</v>
      </c>
      <c r="AR140">
        <v>0</v>
      </c>
      <c r="AS140">
        <v>2</v>
      </c>
      <c r="AT140">
        <v>1</v>
      </c>
      <c r="AU140">
        <v>2</v>
      </c>
      <c r="AV140" t="s">
        <v>153</v>
      </c>
      <c r="AW140">
        <v>7</v>
      </c>
      <c r="AX140">
        <v>1</v>
      </c>
      <c r="AY140">
        <v>1</v>
      </c>
      <c r="AZ140">
        <v>0</v>
      </c>
    </row>
    <row r="141" spans="1:52" x14ac:dyDescent="0.35">
      <c r="A141">
        <v>2025221562791</v>
      </c>
      <c r="B141">
        <v>2025</v>
      </c>
      <c r="C141">
        <v>221562791</v>
      </c>
      <c r="D141">
        <v>386898</v>
      </c>
      <c r="E141">
        <v>258949</v>
      </c>
      <c r="F141">
        <v>-2.1932399999999999</v>
      </c>
      <c r="G141">
        <v>52.228580000000001</v>
      </c>
      <c r="H141">
        <v>22</v>
      </c>
      <c r="I141">
        <v>3</v>
      </c>
      <c r="J141" t="str">
        <f>VLOOKUP(I141, Lookups!$B$1:$C$4, 2, FALSE)</f>
        <v>Slight</v>
      </c>
      <c r="K141">
        <v>2</v>
      </c>
      <c r="L141">
        <v>1</v>
      </c>
      <c r="M141" s="1">
        <v>45724</v>
      </c>
      <c r="N141">
        <v>7</v>
      </c>
      <c r="O141" t="str">
        <f>VLOOKUP(N141, Lookups!$B$6:$C$12, 2, FALSE)</f>
        <v>Saturday</v>
      </c>
      <c r="P141" s="2">
        <v>0.79166666666666663</v>
      </c>
      <c r="Q141">
        <v>-1</v>
      </c>
      <c r="R141" t="s">
        <v>54</v>
      </c>
      <c r="S141" t="s">
        <v>45</v>
      </c>
      <c r="T141" t="s">
        <v>45</v>
      </c>
      <c r="U141">
        <v>3</v>
      </c>
      <c r="V141" t="str">
        <f>VLOOKUP(U141, Lookups!$B$51:$C$57, 2, FALSE)</f>
        <v>A</v>
      </c>
      <c r="W141">
        <v>38</v>
      </c>
      <c r="X141" t="str">
        <f t="shared" si="18"/>
        <v>A38</v>
      </c>
      <c r="Y141">
        <v>6</v>
      </c>
      <c r="Z141" t="str">
        <f>VLOOKUP(Y141, Lookups!$B$14:$C$21, 2, FALSE)</f>
        <v>Single carriageway</v>
      </c>
      <c r="AA141">
        <v>30</v>
      </c>
      <c r="AB141">
        <v>-1</v>
      </c>
      <c r="AC141">
        <v>13</v>
      </c>
      <c r="AD141">
        <v>2</v>
      </c>
      <c r="AE141">
        <v>3</v>
      </c>
      <c r="AF141">
        <v>4536</v>
      </c>
      <c r="AG141">
        <v>-1</v>
      </c>
      <c r="AH141">
        <v>-1</v>
      </c>
      <c r="AI141">
        <v>15</v>
      </c>
      <c r="AJ141">
        <v>4</v>
      </c>
      <c r="AK141" t="str">
        <f>VLOOKUP(AJ141, Lookups!$B$23:$C$28, 2, FALSE)</f>
        <v>Darkness (Lit)</v>
      </c>
      <c r="AL141">
        <v>1</v>
      </c>
      <c r="AM141" t="str">
        <f>VLOOKUP(AL141, Lookups!$B$30:$C$39, 2, FALSE)</f>
        <v>Fine / Clear</v>
      </c>
      <c r="AN141">
        <v>1</v>
      </c>
      <c r="AO141" t="str">
        <f>VLOOKUP(AN141, Lookups!$B$41:$C$49, 2, FALSE)</f>
        <v>Dry</v>
      </c>
      <c r="AP141">
        <v>-1</v>
      </c>
      <c r="AQ141">
        <v>-1</v>
      </c>
      <c r="AR141">
        <v>0</v>
      </c>
      <c r="AS141">
        <v>2</v>
      </c>
      <c r="AT141">
        <v>3</v>
      </c>
      <c r="AU141">
        <v>2</v>
      </c>
      <c r="AV141" t="s">
        <v>66</v>
      </c>
      <c r="AW141">
        <v>3</v>
      </c>
      <c r="AX141">
        <v>1</v>
      </c>
      <c r="AY141">
        <v>0</v>
      </c>
      <c r="AZ141">
        <v>1</v>
      </c>
    </row>
    <row r="142" spans="1:52" x14ac:dyDescent="0.35">
      <c r="A142">
        <v>2025221565620</v>
      </c>
      <c r="B142">
        <v>2025</v>
      </c>
      <c r="C142">
        <v>221565620</v>
      </c>
      <c r="D142">
        <v>386077</v>
      </c>
      <c r="E142">
        <v>258458</v>
      </c>
      <c r="F142">
        <v>-2.2052399999999999</v>
      </c>
      <c r="G142">
        <v>52.224150000000002</v>
      </c>
      <c r="H142">
        <v>22</v>
      </c>
      <c r="I142">
        <v>3</v>
      </c>
      <c r="J142" t="str">
        <f>VLOOKUP(I142, Lookups!$B$1:$C$4, 2, FALSE)</f>
        <v>Slight</v>
      </c>
      <c r="K142">
        <v>2</v>
      </c>
      <c r="L142">
        <v>2</v>
      </c>
      <c r="M142" s="1">
        <v>45731</v>
      </c>
      <c r="N142">
        <v>7</v>
      </c>
      <c r="O142" t="str">
        <f>VLOOKUP(N142, Lookups!$B$6:$C$12, 2, FALSE)</f>
        <v>Saturday</v>
      </c>
      <c r="P142" s="2">
        <v>0.72569444444444442</v>
      </c>
      <c r="Q142">
        <v>-1</v>
      </c>
      <c r="R142" t="s">
        <v>60</v>
      </c>
      <c r="S142" t="s">
        <v>45</v>
      </c>
      <c r="T142" t="s">
        <v>45</v>
      </c>
      <c r="U142">
        <v>3</v>
      </c>
      <c r="V142" t="str">
        <f>VLOOKUP(U142, Lookups!$B$51:$C$57, 2, FALSE)</f>
        <v>A</v>
      </c>
      <c r="W142">
        <v>449</v>
      </c>
      <c r="X142" t="str">
        <f t="shared" si="18"/>
        <v>A449</v>
      </c>
      <c r="Y142">
        <v>3</v>
      </c>
      <c r="Z142" t="str">
        <f>VLOOKUP(Y142, Lookups!$B$14:$C$21, 2, FALSE)</f>
        <v>Dual carriageway</v>
      </c>
      <c r="AA142">
        <v>60</v>
      </c>
      <c r="AB142">
        <v>-1</v>
      </c>
      <c r="AC142">
        <v>0</v>
      </c>
      <c r="AD142">
        <v>-1</v>
      </c>
      <c r="AE142">
        <v>0</v>
      </c>
      <c r="AF142">
        <v>-1</v>
      </c>
      <c r="AG142">
        <v>-1</v>
      </c>
      <c r="AH142">
        <v>-1</v>
      </c>
      <c r="AI142">
        <v>0</v>
      </c>
      <c r="AJ142">
        <v>1</v>
      </c>
      <c r="AK142" t="str">
        <f>VLOOKUP(AJ142, Lookups!$B$23:$C$28, 2, FALSE)</f>
        <v>Daylight</v>
      </c>
      <c r="AL142">
        <v>1</v>
      </c>
      <c r="AM142" t="str">
        <f>VLOOKUP(AL142, Lookups!$B$30:$C$39, 2, FALSE)</f>
        <v>Fine / Clear</v>
      </c>
      <c r="AN142">
        <v>1</v>
      </c>
      <c r="AO142" t="str">
        <f>VLOOKUP(AN142, Lookups!$B$41:$C$49, 2, FALSE)</f>
        <v>Dry</v>
      </c>
      <c r="AP142">
        <v>-1</v>
      </c>
      <c r="AQ142">
        <v>-1</v>
      </c>
      <c r="AR142">
        <v>20</v>
      </c>
      <c r="AS142">
        <v>2</v>
      </c>
      <c r="AT142">
        <v>1</v>
      </c>
      <c r="AU142">
        <v>2</v>
      </c>
      <c r="AV142" t="s">
        <v>154</v>
      </c>
      <c r="AW142">
        <v>3</v>
      </c>
      <c r="AX142">
        <v>1</v>
      </c>
      <c r="AY142">
        <v>0</v>
      </c>
      <c r="AZ142">
        <v>1</v>
      </c>
    </row>
    <row r="143" spans="1:52" x14ac:dyDescent="0.35">
      <c r="A143">
        <v>2025221595972</v>
      </c>
      <c r="B143">
        <v>2025</v>
      </c>
      <c r="C143">
        <v>221595972</v>
      </c>
      <c r="D143">
        <v>383076</v>
      </c>
      <c r="E143">
        <v>263632</v>
      </c>
      <c r="F143">
        <v>-2.2494399999999999</v>
      </c>
      <c r="G143">
        <v>52.270580000000002</v>
      </c>
      <c r="H143">
        <v>22</v>
      </c>
      <c r="I143">
        <v>3</v>
      </c>
      <c r="J143" t="str">
        <f>VLOOKUP(I143, Lookups!$B$1:$C$4, 2, FALSE)</f>
        <v>Slight</v>
      </c>
      <c r="K143">
        <v>3</v>
      </c>
      <c r="L143">
        <v>2</v>
      </c>
      <c r="M143" s="1">
        <v>45786</v>
      </c>
      <c r="N143">
        <v>6</v>
      </c>
      <c r="O143" t="str">
        <f>VLOOKUP(N143, Lookups!$B$6:$C$12, 2, FALSE)</f>
        <v>Friday</v>
      </c>
      <c r="P143" s="2">
        <v>0.39097222222222222</v>
      </c>
      <c r="Q143">
        <v>-1</v>
      </c>
      <c r="R143" t="s">
        <v>54</v>
      </c>
      <c r="S143" t="s">
        <v>45</v>
      </c>
      <c r="T143" t="s">
        <v>45</v>
      </c>
      <c r="U143">
        <v>3</v>
      </c>
      <c r="V143" t="str">
        <f>VLOOKUP(U143, Lookups!$B$51:$C$57, 2, FALSE)</f>
        <v>A</v>
      </c>
      <c r="W143">
        <v>4133</v>
      </c>
      <c r="X143" t="str">
        <f t="shared" si="18"/>
        <v>A4133</v>
      </c>
      <c r="Y143">
        <v>6</v>
      </c>
      <c r="Z143" t="str">
        <f>VLOOKUP(Y143, Lookups!$B$14:$C$21, 2, FALSE)</f>
        <v>Single carriageway</v>
      </c>
      <c r="AA143">
        <v>60</v>
      </c>
      <c r="AB143">
        <v>-1</v>
      </c>
      <c r="AC143">
        <v>16</v>
      </c>
      <c r="AD143">
        <v>4</v>
      </c>
      <c r="AE143">
        <v>6</v>
      </c>
      <c r="AF143">
        <v>0</v>
      </c>
      <c r="AG143">
        <v>-1</v>
      </c>
      <c r="AH143">
        <v>-1</v>
      </c>
      <c r="AI143">
        <v>0</v>
      </c>
      <c r="AJ143">
        <v>1</v>
      </c>
      <c r="AK143" t="str">
        <f>VLOOKUP(AJ143, Lookups!$B$23:$C$28, 2, FALSE)</f>
        <v>Daylight</v>
      </c>
      <c r="AL143">
        <v>1</v>
      </c>
      <c r="AM143" t="str">
        <f>VLOOKUP(AL143, Lookups!$B$30:$C$39, 2, FALSE)</f>
        <v>Fine / Clear</v>
      </c>
      <c r="AN143">
        <v>1</v>
      </c>
      <c r="AO143" t="str">
        <f>VLOOKUP(AN143, Lookups!$B$41:$C$49, 2, FALSE)</f>
        <v>Dry</v>
      </c>
      <c r="AP143">
        <v>-1</v>
      </c>
      <c r="AQ143">
        <v>-1</v>
      </c>
      <c r="AR143">
        <v>0</v>
      </c>
      <c r="AS143">
        <v>2</v>
      </c>
      <c r="AT143">
        <v>1</v>
      </c>
      <c r="AU143">
        <v>2</v>
      </c>
      <c r="AV143" t="s">
        <v>124</v>
      </c>
      <c r="AW143">
        <v>3</v>
      </c>
      <c r="AX143">
        <v>1</v>
      </c>
      <c r="AY143">
        <v>0</v>
      </c>
      <c r="AZ143">
        <v>1</v>
      </c>
    </row>
    <row r="144" spans="1:52" x14ac:dyDescent="0.35">
      <c r="A144">
        <v>2025221599341</v>
      </c>
      <c r="B144">
        <v>2025</v>
      </c>
      <c r="C144">
        <v>221599341</v>
      </c>
      <c r="D144">
        <v>387734</v>
      </c>
      <c r="E144">
        <v>256465</v>
      </c>
      <c r="F144">
        <v>-2.1809099999999999</v>
      </c>
      <c r="G144">
        <v>52.206270000000004</v>
      </c>
      <c r="H144">
        <v>22</v>
      </c>
      <c r="I144">
        <v>3</v>
      </c>
      <c r="J144" t="str">
        <f>VLOOKUP(I144, Lookups!$B$1:$C$4, 2, FALSE)</f>
        <v>Slight</v>
      </c>
      <c r="K144">
        <v>2</v>
      </c>
      <c r="L144">
        <v>3</v>
      </c>
      <c r="M144" s="1">
        <v>45814</v>
      </c>
      <c r="N144">
        <v>6</v>
      </c>
      <c r="O144" t="str">
        <f>VLOOKUP(N144, Lookups!$B$6:$C$12, 2, FALSE)</f>
        <v>Friday</v>
      </c>
      <c r="P144" s="2">
        <v>0.3576388888888889</v>
      </c>
      <c r="Q144">
        <v>-1</v>
      </c>
      <c r="R144" t="s">
        <v>60</v>
      </c>
      <c r="S144" t="s">
        <v>45</v>
      </c>
      <c r="T144" t="s">
        <v>45</v>
      </c>
      <c r="U144">
        <v>6</v>
      </c>
      <c r="V144" t="str">
        <f>VLOOKUP(U144, Lookups!$B$51:$C$57, 2, FALSE)</f>
        <v>Unclassified</v>
      </c>
      <c r="W144">
        <v>0</v>
      </c>
      <c r="X144" t="s">
        <v>362</v>
      </c>
      <c r="Y144">
        <v>6</v>
      </c>
      <c r="Z144" t="str">
        <f>VLOOKUP(Y144, Lookups!$B$14:$C$21, 2, FALSE)</f>
        <v>Single carriageway</v>
      </c>
      <c r="AA144">
        <v>30</v>
      </c>
      <c r="AB144">
        <v>-1</v>
      </c>
      <c r="AC144">
        <v>13</v>
      </c>
      <c r="AD144">
        <v>4</v>
      </c>
      <c r="AE144">
        <v>6</v>
      </c>
      <c r="AF144">
        <v>0</v>
      </c>
      <c r="AG144">
        <v>-1</v>
      </c>
      <c r="AH144">
        <v>-1</v>
      </c>
      <c r="AI144">
        <v>0</v>
      </c>
      <c r="AJ144">
        <v>1</v>
      </c>
      <c r="AK144" t="str">
        <f>VLOOKUP(AJ144, Lookups!$B$23:$C$28, 2, FALSE)</f>
        <v>Daylight</v>
      </c>
      <c r="AL144">
        <v>1</v>
      </c>
      <c r="AM144" t="str">
        <f>VLOOKUP(AL144, Lookups!$B$30:$C$39, 2, FALSE)</f>
        <v>Fine / Clear</v>
      </c>
      <c r="AN144">
        <v>2</v>
      </c>
      <c r="AO144" t="str">
        <f>VLOOKUP(AN144, Lookups!$B$41:$C$49, 2, FALSE)</f>
        <v>Wet / damp</v>
      </c>
      <c r="AP144">
        <v>-1</v>
      </c>
      <c r="AQ144">
        <v>-1</v>
      </c>
      <c r="AR144">
        <v>0</v>
      </c>
      <c r="AS144">
        <v>1</v>
      </c>
      <c r="AT144">
        <v>3</v>
      </c>
      <c r="AU144">
        <v>2</v>
      </c>
      <c r="AV144" t="s">
        <v>155</v>
      </c>
      <c r="AW144">
        <v>3</v>
      </c>
      <c r="AX144">
        <v>1</v>
      </c>
      <c r="AY144">
        <v>0</v>
      </c>
      <c r="AZ144">
        <v>1</v>
      </c>
    </row>
    <row r="145" spans="1:52" x14ac:dyDescent="0.35">
      <c r="A145">
        <v>2025221623190</v>
      </c>
      <c r="B145">
        <v>2025</v>
      </c>
      <c r="C145">
        <v>221623190</v>
      </c>
      <c r="D145">
        <v>384479</v>
      </c>
      <c r="E145">
        <v>263680</v>
      </c>
      <c r="F145">
        <v>-2.2288800000000002</v>
      </c>
      <c r="G145">
        <v>52.271050000000002</v>
      </c>
      <c r="H145">
        <v>22</v>
      </c>
      <c r="I145">
        <v>3</v>
      </c>
      <c r="J145" t="str">
        <f>VLOOKUP(I145, Lookups!$B$1:$C$4, 2, FALSE)</f>
        <v>Slight</v>
      </c>
      <c r="K145">
        <v>1</v>
      </c>
      <c r="L145">
        <v>1</v>
      </c>
      <c r="M145" s="1">
        <v>45869</v>
      </c>
      <c r="N145">
        <v>5</v>
      </c>
      <c r="O145" t="str">
        <f>VLOOKUP(N145, Lookups!$B$6:$C$12, 2, FALSE)</f>
        <v>Thursday</v>
      </c>
      <c r="P145" s="2">
        <v>0.83333333333333337</v>
      </c>
      <c r="Q145">
        <v>-1</v>
      </c>
      <c r="R145" t="s">
        <v>54</v>
      </c>
      <c r="S145" t="s">
        <v>45</v>
      </c>
      <c r="T145" t="s">
        <v>45</v>
      </c>
      <c r="U145">
        <v>3</v>
      </c>
      <c r="V145" t="str">
        <f>VLOOKUP(U145, Lookups!$B$51:$C$57, 2, FALSE)</f>
        <v>A</v>
      </c>
      <c r="W145">
        <v>4133</v>
      </c>
      <c r="X145" t="str">
        <f>V145&amp;W145</f>
        <v>A4133</v>
      </c>
      <c r="Y145">
        <v>1</v>
      </c>
      <c r="Z145" t="str">
        <f>VLOOKUP(Y145, Lookups!$B$14:$C$21, 2, FALSE)</f>
        <v>Roundabout</v>
      </c>
      <c r="AA145">
        <v>30</v>
      </c>
      <c r="AB145">
        <v>-1</v>
      </c>
      <c r="AC145">
        <v>-1</v>
      </c>
      <c r="AD145">
        <v>4</v>
      </c>
      <c r="AE145">
        <v>3</v>
      </c>
      <c r="AF145">
        <v>4133</v>
      </c>
      <c r="AG145">
        <v>-1</v>
      </c>
      <c r="AH145">
        <v>-1</v>
      </c>
      <c r="AI145">
        <v>0</v>
      </c>
      <c r="AJ145">
        <v>1</v>
      </c>
      <c r="AK145" t="str">
        <f>VLOOKUP(AJ145, Lookups!$B$23:$C$28, 2, FALSE)</f>
        <v>Daylight</v>
      </c>
      <c r="AL145">
        <v>1</v>
      </c>
      <c r="AM145" t="str">
        <f>VLOOKUP(AL145, Lookups!$B$30:$C$39, 2, FALSE)</f>
        <v>Fine / Clear</v>
      </c>
      <c r="AN145">
        <v>1</v>
      </c>
      <c r="AO145" t="str">
        <f>VLOOKUP(AN145, Lookups!$B$41:$C$49, 2, FALSE)</f>
        <v>Dry</v>
      </c>
      <c r="AP145">
        <v>-1</v>
      </c>
      <c r="AQ145">
        <v>-1</v>
      </c>
      <c r="AR145">
        <v>0</v>
      </c>
      <c r="AS145">
        <v>2</v>
      </c>
      <c r="AT145">
        <v>1</v>
      </c>
      <c r="AU145">
        <v>2</v>
      </c>
      <c r="AV145" t="s">
        <v>124</v>
      </c>
      <c r="AW145">
        <v>3</v>
      </c>
      <c r="AX145">
        <v>1</v>
      </c>
      <c r="AY145">
        <v>0</v>
      </c>
      <c r="AZ145">
        <v>1</v>
      </c>
    </row>
    <row r="146" spans="1:52" x14ac:dyDescent="0.35">
      <c r="A146">
        <v>2025221568631</v>
      </c>
      <c r="B146">
        <v>2025</v>
      </c>
      <c r="C146">
        <v>221568631</v>
      </c>
      <c r="D146">
        <v>405009</v>
      </c>
      <c r="E146">
        <v>264886</v>
      </c>
      <c r="F146">
        <v>-1.9279999999999999</v>
      </c>
      <c r="G146">
        <v>52.2821</v>
      </c>
      <c r="H146">
        <v>22</v>
      </c>
      <c r="I146">
        <v>3</v>
      </c>
      <c r="J146" t="str">
        <f>VLOOKUP(I146, Lookups!$B$1:$C$4, 2, FALSE)</f>
        <v>Slight</v>
      </c>
      <c r="K146">
        <v>2</v>
      </c>
      <c r="L146">
        <v>2</v>
      </c>
      <c r="M146" s="1">
        <v>45740</v>
      </c>
      <c r="N146">
        <v>2</v>
      </c>
      <c r="O146" t="str">
        <f>VLOOKUP(N146, Lookups!$B$6:$C$12, 2, FALSE)</f>
        <v>Monday</v>
      </c>
      <c r="P146" s="2">
        <v>0.41666666666666669</v>
      </c>
      <c r="Q146">
        <v>-1</v>
      </c>
      <c r="R146" t="s">
        <v>69</v>
      </c>
      <c r="S146" t="s">
        <v>45</v>
      </c>
      <c r="T146" t="s">
        <v>45</v>
      </c>
      <c r="U146">
        <v>6</v>
      </c>
      <c r="V146" t="str">
        <f>VLOOKUP(U146, Lookups!$B$51:$C$57, 2, FALSE)</f>
        <v>Unclassified</v>
      </c>
      <c r="W146">
        <v>0</v>
      </c>
      <c r="X146" t="s">
        <v>362</v>
      </c>
      <c r="Y146">
        <v>6</v>
      </c>
      <c r="Z146" t="str">
        <f>VLOOKUP(Y146, Lookups!$B$14:$C$21, 2, FALSE)</f>
        <v>Single carriageway</v>
      </c>
      <c r="AA146">
        <v>30</v>
      </c>
      <c r="AB146">
        <v>-1</v>
      </c>
      <c r="AC146">
        <v>17</v>
      </c>
      <c r="AD146">
        <v>4</v>
      </c>
      <c r="AE146">
        <v>3</v>
      </c>
      <c r="AF146">
        <v>441</v>
      </c>
      <c r="AG146">
        <v>-1</v>
      </c>
      <c r="AH146">
        <v>-1</v>
      </c>
      <c r="AI146">
        <v>0</v>
      </c>
      <c r="AJ146">
        <v>1</v>
      </c>
      <c r="AK146" t="str">
        <f>VLOOKUP(AJ146, Lookups!$B$23:$C$28, 2, FALSE)</f>
        <v>Daylight</v>
      </c>
      <c r="AL146">
        <v>1</v>
      </c>
      <c r="AM146" t="str">
        <f>VLOOKUP(AL146, Lookups!$B$30:$C$39, 2, FALSE)</f>
        <v>Fine / Clear</v>
      </c>
      <c r="AN146">
        <v>1</v>
      </c>
      <c r="AO146" t="str">
        <f>VLOOKUP(AN146, Lookups!$B$41:$C$49, 2, FALSE)</f>
        <v>Dry</v>
      </c>
      <c r="AP146">
        <v>-1</v>
      </c>
      <c r="AQ146">
        <v>-1</v>
      </c>
      <c r="AR146">
        <v>0</v>
      </c>
      <c r="AS146">
        <v>2</v>
      </c>
      <c r="AT146">
        <v>3</v>
      </c>
      <c r="AU146">
        <v>2</v>
      </c>
      <c r="AV146" t="s">
        <v>156</v>
      </c>
      <c r="AW146">
        <v>3</v>
      </c>
      <c r="AX146">
        <v>1</v>
      </c>
      <c r="AY146">
        <v>0</v>
      </c>
      <c r="AZ146">
        <v>1</v>
      </c>
    </row>
    <row r="147" spans="1:52" x14ac:dyDescent="0.35">
      <c r="A147">
        <v>2025221630437</v>
      </c>
      <c r="B147">
        <v>2025</v>
      </c>
      <c r="C147">
        <v>221630437</v>
      </c>
      <c r="D147">
        <v>407810</v>
      </c>
      <c r="E147">
        <v>239889</v>
      </c>
      <c r="F147">
        <v>-1.88751</v>
      </c>
      <c r="G147">
        <v>52.05733</v>
      </c>
      <c r="H147">
        <v>22</v>
      </c>
      <c r="I147">
        <v>2</v>
      </c>
      <c r="J147" t="str">
        <f>VLOOKUP(I147, Lookups!$B$1:$C$4, 2, FALSE)</f>
        <v>Serious</v>
      </c>
      <c r="K147">
        <v>2</v>
      </c>
      <c r="L147">
        <v>1</v>
      </c>
      <c r="M147" s="1">
        <v>45887</v>
      </c>
      <c r="N147">
        <v>2</v>
      </c>
      <c r="O147" t="str">
        <f>VLOOKUP(N147, Lookups!$B$6:$C$12, 2, FALSE)</f>
        <v>Monday</v>
      </c>
      <c r="P147" s="2">
        <v>0.67847222222222225</v>
      </c>
      <c r="Q147">
        <v>-1</v>
      </c>
      <c r="R147" t="s">
        <v>54</v>
      </c>
      <c r="S147" t="s">
        <v>45</v>
      </c>
      <c r="T147" t="s">
        <v>45</v>
      </c>
      <c r="U147">
        <v>3</v>
      </c>
      <c r="V147" t="str">
        <f>VLOOKUP(U147, Lookups!$B$51:$C$57, 2, FALSE)</f>
        <v>A</v>
      </c>
      <c r="W147">
        <v>44</v>
      </c>
      <c r="X147" t="str">
        <f t="shared" ref="X147:X150" si="19">V147&amp;W147</f>
        <v>A44</v>
      </c>
      <c r="Y147">
        <v>6</v>
      </c>
      <c r="Z147" t="str">
        <f>VLOOKUP(Y147, Lookups!$B$14:$C$21, 2, FALSE)</f>
        <v>Single carriageway</v>
      </c>
      <c r="AA147">
        <v>60</v>
      </c>
      <c r="AB147">
        <v>-1</v>
      </c>
      <c r="AC147">
        <v>18</v>
      </c>
      <c r="AD147">
        <v>4</v>
      </c>
      <c r="AE147">
        <v>6</v>
      </c>
      <c r="AF147">
        <v>0</v>
      </c>
      <c r="AG147">
        <v>-1</v>
      </c>
      <c r="AH147">
        <v>-1</v>
      </c>
      <c r="AI147">
        <v>0</v>
      </c>
      <c r="AJ147">
        <v>1</v>
      </c>
      <c r="AK147" t="str">
        <f>VLOOKUP(AJ147, Lookups!$B$23:$C$28, 2, FALSE)</f>
        <v>Daylight</v>
      </c>
      <c r="AL147">
        <v>1</v>
      </c>
      <c r="AM147" t="str">
        <f>VLOOKUP(AL147, Lookups!$B$30:$C$39, 2, FALSE)</f>
        <v>Fine / Clear</v>
      </c>
      <c r="AN147">
        <v>1</v>
      </c>
      <c r="AO147" t="str">
        <f>VLOOKUP(AN147, Lookups!$B$41:$C$49, 2, FALSE)</f>
        <v>Dry</v>
      </c>
      <c r="AP147">
        <v>-1</v>
      </c>
      <c r="AQ147">
        <v>-1</v>
      </c>
      <c r="AR147">
        <v>0</v>
      </c>
      <c r="AS147">
        <v>2</v>
      </c>
      <c r="AT147">
        <v>1</v>
      </c>
      <c r="AU147">
        <v>2</v>
      </c>
      <c r="AV147" t="s">
        <v>157</v>
      </c>
      <c r="AW147">
        <v>7</v>
      </c>
      <c r="AX147">
        <v>1</v>
      </c>
      <c r="AY147">
        <v>1</v>
      </c>
      <c r="AZ147">
        <v>0</v>
      </c>
    </row>
    <row r="148" spans="1:52" x14ac:dyDescent="0.35">
      <c r="A148">
        <v>2025221644448</v>
      </c>
      <c r="B148">
        <v>2025</v>
      </c>
      <c r="C148">
        <v>221644448</v>
      </c>
      <c r="D148">
        <v>396697</v>
      </c>
      <c r="E148">
        <v>245179</v>
      </c>
      <c r="F148">
        <v>-2.0496400000000001</v>
      </c>
      <c r="G148">
        <v>52.104930000000003</v>
      </c>
      <c r="H148">
        <v>22</v>
      </c>
      <c r="I148">
        <v>3</v>
      </c>
      <c r="J148" t="str">
        <f>VLOOKUP(I148, Lookups!$B$1:$C$4, 2, FALSE)</f>
        <v>Slight</v>
      </c>
      <c r="K148">
        <v>2</v>
      </c>
      <c r="L148">
        <v>2</v>
      </c>
      <c r="M148" s="1">
        <v>45920</v>
      </c>
      <c r="N148">
        <v>7</v>
      </c>
      <c r="O148" t="str">
        <f>VLOOKUP(N148, Lookups!$B$6:$C$12, 2, FALSE)</f>
        <v>Saturday</v>
      </c>
      <c r="P148" s="2">
        <v>0.62916666666666665</v>
      </c>
      <c r="Q148">
        <v>-1</v>
      </c>
      <c r="R148" t="s">
        <v>54</v>
      </c>
      <c r="S148" t="s">
        <v>45</v>
      </c>
      <c r="T148" t="s">
        <v>45</v>
      </c>
      <c r="U148">
        <v>4</v>
      </c>
      <c r="V148" t="str">
        <f>VLOOKUP(U148, Lookups!$B$51:$C$57, 2, FALSE)</f>
        <v>B</v>
      </c>
      <c r="W148">
        <v>4084</v>
      </c>
      <c r="X148" t="str">
        <f t="shared" si="19"/>
        <v>B4084</v>
      </c>
      <c r="Y148">
        <v>6</v>
      </c>
      <c r="Z148" t="str">
        <f>VLOOKUP(Y148, Lookups!$B$14:$C$21, 2, FALSE)</f>
        <v>Single carriageway</v>
      </c>
      <c r="AA148">
        <v>50</v>
      </c>
      <c r="AB148">
        <v>-1</v>
      </c>
      <c r="AC148">
        <v>16</v>
      </c>
      <c r="AD148">
        <v>4</v>
      </c>
      <c r="AE148">
        <v>6</v>
      </c>
      <c r="AF148">
        <v>0</v>
      </c>
      <c r="AG148">
        <v>-1</v>
      </c>
      <c r="AH148">
        <v>-1</v>
      </c>
      <c r="AI148">
        <v>0</v>
      </c>
      <c r="AJ148">
        <v>1</v>
      </c>
      <c r="AK148" t="str">
        <f>VLOOKUP(AJ148, Lookups!$B$23:$C$28, 2, FALSE)</f>
        <v>Daylight</v>
      </c>
      <c r="AL148">
        <v>1</v>
      </c>
      <c r="AM148" t="str">
        <f>VLOOKUP(AL148, Lookups!$B$30:$C$39, 2, FALSE)</f>
        <v>Fine / Clear</v>
      </c>
      <c r="AN148">
        <v>2</v>
      </c>
      <c r="AO148" t="str">
        <f>VLOOKUP(AN148, Lookups!$B$41:$C$49, 2, FALSE)</f>
        <v>Wet / damp</v>
      </c>
      <c r="AP148">
        <v>-1</v>
      </c>
      <c r="AQ148">
        <v>-1</v>
      </c>
      <c r="AR148">
        <v>0</v>
      </c>
      <c r="AS148">
        <v>2</v>
      </c>
      <c r="AT148">
        <v>1</v>
      </c>
      <c r="AU148">
        <v>2</v>
      </c>
      <c r="AV148" t="s">
        <v>108</v>
      </c>
      <c r="AW148">
        <v>3</v>
      </c>
      <c r="AX148">
        <v>1</v>
      </c>
      <c r="AY148">
        <v>0</v>
      </c>
      <c r="AZ148">
        <v>1</v>
      </c>
    </row>
    <row r="149" spans="1:52" x14ac:dyDescent="0.35">
      <c r="A149">
        <v>2025221675254</v>
      </c>
      <c r="B149">
        <v>2025</v>
      </c>
      <c r="C149">
        <v>221675254</v>
      </c>
      <c r="D149">
        <v>384931</v>
      </c>
      <c r="E149">
        <v>255218</v>
      </c>
      <c r="F149">
        <v>-2.22187</v>
      </c>
      <c r="G149">
        <v>52.194989999999997</v>
      </c>
      <c r="H149">
        <v>22</v>
      </c>
      <c r="I149">
        <v>2</v>
      </c>
      <c r="J149" t="str">
        <f>VLOOKUP(I149, Lookups!$B$1:$C$4, 2, FALSE)</f>
        <v>Serious</v>
      </c>
      <c r="K149">
        <v>1</v>
      </c>
      <c r="L149">
        <v>1</v>
      </c>
      <c r="M149" s="1">
        <v>45989</v>
      </c>
      <c r="N149">
        <v>6</v>
      </c>
      <c r="O149" t="str">
        <f>VLOOKUP(N149, Lookups!$B$6:$C$12, 2, FALSE)</f>
        <v>Friday</v>
      </c>
      <c r="P149" s="2">
        <v>0.56111111111111112</v>
      </c>
      <c r="Q149">
        <v>-1</v>
      </c>
      <c r="R149" t="s">
        <v>60</v>
      </c>
      <c r="S149" t="s">
        <v>45</v>
      </c>
      <c r="T149" t="s">
        <v>45</v>
      </c>
      <c r="U149">
        <v>3</v>
      </c>
      <c r="V149" t="str">
        <f>VLOOKUP(U149, Lookups!$B$51:$C$57, 2, FALSE)</f>
        <v>A</v>
      </c>
      <c r="W149">
        <v>38</v>
      </c>
      <c r="X149" t="str">
        <f t="shared" si="19"/>
        <v>A38</v>
      </c>
      <c r="Y149">
        <v>6</v>
      </c>
      <c r="Z149" t="str">
        <f>VLOOKUP(Y149, Lookups!$B$14:$C$21, 2, FALSE)</f>
        <v>Single carriageway</v>
      </c>
      <c r="AA149">
        <v>30</v>
      </c>
      <c r="AB149">
        <v>-1</v>
      </c>
      <c r="AC149">
        <v>0</v>
      </c>
      <c r="AD149">
        <v>-1</v>
      </c>
      <c r="AE149">
        <v>4</v>
      </c>
      <c r="AF149">
        <v>4205</v>
      </c>
      <c r="AG149">
        <v>-1</v>
      </c>
      <c r="AH149">
        <v>-1</v>
      </c>
      <c r="AI149">
        <v>14</v>
      </c>
      <c r="AJ149">
        <v>1</v>
      </c>
      <c r="AK149" t="str">
        <f>VLOOKUP(AJ149, Lookups!$B$23:$C$28, 2, FALSE)</f>
        <v>Daylight</v>
      </c>
      <c r="AL149">
        <v>2</v>
      </c>
      <c r="AM149" t="str">
        <f>VLOOKUP(AL149, Lookups!$B$30:$C$39, 2, FALSE)</f>
        <v>Rain</v>
      </c>
      <c r="AN149">
        <v>2</v>
      </c>
      <c r="AO149" t="str">
        <f>VLOOKUP(AN149, Lookups!$B$41:$C$49, 2, FALSE)</f>
        <v>Wet / damp</v>
      </c>
      <c r="AP149">
        <v>-1</v>
      </c>
      <c r="AQ149">
        <v>-1</v>
      </c>
      <c r="AR149">
        <v>0</v>
      </c>
      <c r="AS149">
        <v>1</v>
      </c>
      <c r="AT149">
        <v>1</v>
      </c>
      <c r="AU149">
        <v>2</v>
      </c>
      <c r="AV149" t="s">
        <v>88</v>
      </c>
      <c r="AW149">
        <v>7</v>
      </c>
      <c r="AX149">
        <v>1</v>
      </c>
      <c r="AY149">
        <v>1</v>
      </c>
      <c r="AZ149">
        <v>0</v>
      </c>
    </row>
    <row r="150" spans="1:52" x14ac:dyDescent="0.35">
      <c r="A150">
        <v>2025221566433</v>
      </c>
      <c r="B150">
        <v>2025</v>
      </c>
      <c r="C150">
        <v>221566433</v>
      </c>
      <c r="D150">
        <v>378366</v>
      </c>
      <c r="E150">
        <v>247565</v>
      </c>
      <c r="F150">
        <v>-2.3174299999999999</v>
      </c>
      <c r="G150">
        <v>52.125970000000002</v>
      </c>
      <c r="H150">
        <v>22</v>
      </c>
      <c r="I150">
        <v>3</v>
      </c>
      <c r="J150" t="str">
        <f>VLOOKUP(I150, Lookups!$B$1:$C$4, 2, FALSE)</f>
        <v>Slight</v>
      </c>
      <c r="K150">
        <v>2</v>
      </c>
      <c r="L150">
        <v>1</v>
      </c>
      <c r="M150" s="1">
        <v>45734</v>
      </c>
      <c r="N150">
        <v>3</v>
      </c>
      <c r="O150" t="str">
        <f>VLOOKUP(N150, Lookups!$B$6:$C$12, 2, FALSE)</f>
        <v>Tuesday</v>
      </c>
      <c r="P150" s="2">
        <v>0.66666666666666663</v>
      </c>
      <c r="Q150">
        <v>-1</v>
      </c>
      <c r="R150" t="s">
        <v>49</v>
      </c>
      <c r="S150" t="s">
        <v>45</v>
      </c>
      <c r="T150" t="s">
        <v>45</v>
      </c>
      <c r="U150">
        <v>3</v>
      </c>
      <c r="V150" t="str">
        <f>VLOOKUP(U150, Lookups!$B$51:$C$57, 2, FALSE)</f>
        <v>A</v>
      </c>
      <c r="W150">
        <v>449</v>
      </c>
      <c r="X150" t="str">
        <f t="shared" si="19"/>
        <v>A449</v>
      </c>
      <c r="Y150">
        <v>6</v>
      </c>
      <c r="Z150" t="str">
        <f>VLOOKUP(Y150, Lookups!$B$14:$C$21, 2, FALSE)</f>
        <v>Single carriageway</v>
      </c>
      <c r="AA150">
        <v>40</v>
      </c>
      <c r="AB150">
        <v>-1</v>
      </c>
      <c r="AC150">
        <v>13</v>
      </c>
      <c r="AD150">
        <v>4</v>
      </c>
      <c r="AE150">
        <v>6</v>
      </c>
      <c r="AF150">
        <v>0</v>
      </c>
      <c r="AG150">
        <v>-1</v>
      </c>
      <c r="AH150">
        <v>-1</v>
      </c>
      <c r="AI150">
        <v>0</v>
      </c>
      <c r="AJ150">
        <v>1</v>
      </c>
      <c r="AK150" t="str">
        <f>VLOOKUP(AJ150, Lookups!$B$23:$C$28, 2, FALSE)</f>
        <v>Daylight</v>
      </c>
      <c r="AL150">
        <v>1</v>
      </c>
      <c r="AM150" t="str">
        <f>VLOOKUP(AL150, Lookups!$B$30:$C$39, 2, FALSE)</f>
        <v>Fine / Clear</v>
      </c>
      <c r="AN150">
        <v>1</v>
      </c>
      <c r="AO150" t="str">
        <f>VLOOKUP(AN150, Lookups!$B$41:$C$49, 2, FALSE)</f>
        <v>Dry</v>
      </c>
      <c r="AP150">
        <v>-1</v>
      </c>
      <c r="AQ150">
        <v>-1</v>
      </c>
      <c r="AR150">
        <v>0</v>
      </c>
      <c r="AS150">
        <v>1</v>
      </c>
      <c r="AT150">
        <v>1</v>
      </c>
      <c r="AU150">
        <v>2</v>
      </c>
      <c r="AV150" t="s">
        <v>158</v>
      </c>
      <c r="AW150">
        <v>3</v>
      </c>
      <c r="AX150">
        <v>1</v>
      </c>
      <c r="AY150">
        <v>0</v>
      </c>
      <c r="AZ150">
        <v>1</v>
      </c>
    </row>
    <row r="151" spans="1:52" x14ac:dyDescent="0.35">
      <c r="A151">
        <v>2025221613293</v>
      </c>
      <c r="B151">
        <v>2025</v>
      </c>
      <c r="C151">
        <v>221613293</v>
      </c>
      <c r="D151">
        <v>379484</v>
      </c>
      <c r="E151">
        <v>246376</v>
      </c>
      <c r="F151">
        <v>-2.3010199999999998</v>
      </c>
      <c r="G151">
        <v>52.115319999999997</v>
      </c>
      <c r="H151">
        <v>22</v>
      </c>
      <c r="I151">
        <v>3</v>
      </c>
      <c r="J151" t="str">
        <f>VLOOKUP(I151, Lookups!$B$1:$C$4, 2, FALSE)</f>
        <v>Slight</v>
      </c>
      <c r="K151">
        <v>2</v>
      </c>
      <c r="L151">
        <v>1</v>
      </c>
      <c r="M151" s="1">
        <v>45846</v>
      </c>
      <c r="N151">
        <v>3</v>
      </c>
      <c r="O151" t="str">
        <f>VLOOKUP(N151, Lookups!$B$6:$C$12, 2, FALSE)</f>
        <v>Tuesday</v>
      </c>
      <c r="P151" s="2">
        <v>0.76388888888888884</v>
      </c>
      <c r="Q151">
        <v>-1</v>
      </c>
      <c r="R151" t="s">
        <v>49</v>
      </c>
      <c r="S151" t="s">
        <v>45</v>
      </c>
      <c r="T151" t="s">
        <v>45</v>
      </c>
      <c r="U151">
        <v>6</v>
      </c>
      <c r="V151" t="str">
        <f>VLOOKUP(U151, Lookups!$B$51:$C$57, 2, FALSE)</f>
        <v>Unclassified</v>
      </c>
      <c r="W151">
        <v>0</v>
      </c>
      <c r="X151" t="s">
        <v>362</v>
      </c>
      <c r="Y151">
        <v>1</v>
      </c>
      <c r="Z151" t="str">
        <f>VLOOKUP(Y151, Lookups!$B$14:$C$21, 2, FALSE)</f>
        <v>Roundabout</v>
      </c>
      <c r="AA151">
        <v>30</v>
      </c>
      <c r="AB151">
        <v>-1</v>
      </c>
      <c r="AC151">
        <v>-1</v>
      </c>
      <c r="AD151">
        <v>4</v>
      </c>
      <c r="AE151">
        <v>6</v>
      </c>
      <c r="AF151">
        <v>0</v>
      </c>
      <c r="AG151">
        <v>-1</v>
      </c>
      <c r="AH151">
        <v>-1</v>
      </c>
      <c r="AI151">
        <v>0</v>
      </c>
      <c r="AJ151">
        <v>1</v>
      </c>
      <c r="AK151" t="str">
        <f>VLOOKUP(AJ151, Lookups!$B$23:$C$28, 2, FALSE)</f>
        <v>Daylight</v>
      </c>
      <c r="AL151">
        <v>1</v>
      </c>
      <c r="AM151" t="str">
        <f>VLOOKUP(AL151, Lookups!$B$30:$C$39, 2, FALSE)</f>
        <v>Fine / Clear</v>
      </c>
      <c r="AN151">
        <v>1</v>
      </c>
      <c r="AO151" t="str">
        <f>VLOOKUP(AN151, Lookups!$B$41:$C$49, 2, FALSE)</f>
        <v>Dry</v>
      </c>
      <c r="AP151">
        <v>-1</v>
      </c>
      <c r="AQ151">
        <v>-1</v>
      </c>
      <c r="AR151">
        <v>0</v>
      </c>
      <c r="AS151">
        <v>2</v>
      </c>
      <c r="AT151">
        <v>1</v>
      </c>
      <c r="AU151">
        <v>2</v>
      </c>
      <c r="AV151" t="s">
        <v>159</v>
      </c>
      <c r="AW151">
        <v>3</v>
      </c>
      <c r="AX151">
        <v>1</v>
      </c>
      <c r="AY151">
        <v>0</v>
      </c>
      <c r="AZ151">
        <v>1</v>
      </c>
    </row>
    <row r="152" spans="1:52" x14ac:dyDescent="0.35">
      <c r="A152">
        <v>2025221620000</v>
      </c>
      <c r="B152">
        <v>2025</v>
      </c>
      <c r="C152">
        <v>221620000</v>
      </c>
      <c r="D152">
        <v>404761</v>
      </c>
      <c r="E152">
        <v>273423</v>
      </c>
      <c r="F152">
        <v>-1.9315100000000001</v>
      </c>
      <c r="G152">
        <v>52.358849999999997</v>
      </c>
      <c r="H152">
        <v>22</v>
      </c>
      <c r="I152">
        <v>3</v>
      </c>
      <c r="J152" t="str">
        <f>VLOOKUP(I152, Lookups!$B$1:$C$4, 2, FALSE)</f>
        <v>Slight</v>
      </c>
      <c r="K152">
        <v>6</v>
      </c>
      <c r="L152">
        <v>1</v>
      </c>
      <c r="M152" s="1">
        <v>45861</v>
      </c>
      <c r="N152">
        <v>4</v>
      </c>
      <c r="O152" t="str">
        <f>VLOOKUP(N152, Lookups!$B$6:$C$12, 2, FALSE)</f>
        <v>Wednesday</v>
      </c>
      <c r="P152" s="2">
        <v>0.56944444444444442</v>
      </c>
      <c r="Q152">
        <v>-1</v>
      </c>
      <c r="R152" t="s">
        <v>47</v>
      </c>
      <c r="S152" t="s">
        <v>45</v>
      </c>
      <c r="T152" t="s">
        <v>45</v>
      </c>
      <c r="U152">
        <v>1</v>
      </c>
      <c r="V152" t="str">
        <f>VLOOKUP(U152, Lookups!$B$51:$C$57, 2, FALSE)</f>
        <v>M</v>
      </c>
      <c r="W152">
        <v>42</v>
      </c>
      <c r="X152" t="str">
        <f t="shared" ref="X152:X155" si="20">V152&amp;W152</f>
        <v>M42</v>
      </c>
      <c r="Y152">
        <v>3</v>
      </c>
      <c r="Z152" t="str">
        <f>VLOOKUP(Y152, Lookups!$B$14:$C$21, 2, FALSE)</f>
        <v>Dual carriageway</v>
      </c>
      <c r="AA152">
        <v>70</v>
      </c>
      <c r="AB152">
        <v>-1</v>
      </c>
      <c r="AC152">
        <v>0</v>
      </c>
      <c r="AD152">
        <v>-1</v>
      </c>
      <c r="AE152">
        <v>0</v>
      </c>
      <c r="AF152">
        <v>-1</v>
      </c>
      <c r="AG152">
        <v>-1</v>
      </c>
      <c r="AH152">
        <v>-1</v>
      </c>
      <c r="AI152">
        <v>0</v>
      </c>
      <c r="AJ152">
        <v>1</v>
      </c>
      <c r="AK152" t="str">
        <f>VLOOKUP(AJ152, Lookups!$B$23:$C$28, 2, FALSE)</f>
        <v>Daylight</v>
      </c>
      <c r="AL152">
        <v>1</v>
      </c>
      <c r="AM152" t="str">
        <f>VLOOKUP(AL152, Lookups!$B$30:$C$39, 2, FALSE)</f>
        <v>Fine / Clear</v>
      </c>
      <c r="AN152">
        <v>1</v>
      </c>
      <c r="AO152" t="str">
        <f>VLOOKUP(AN152, Lookups!$B$41:$C$49, 2, FALSE)</f>
        <v>Dry</v>
      </c>
      <c r="AP152">
        <v>-1</v>
      </c>
      <c r="AQ152">
        <v>-1</v>
      </c>
      <c r="AR152">
        <v>0</v>
      </c>
      <c r="AS152">
        <v>2</v>
      </c>
      <c r="AT152">
        <v>1</v>
      </c>
      <c r="AU152">
        <v>1</v>
      </c>
      <c r="AV152" t="s">
        <v>77</v>
      </c>
      <c r="AW152">
        <v>3</v>
      </c>
      <c r="AX152">
        <v>1</v>
      </c>
      <c r="AY152">
        <v>0</v>
      </c>
      <c r="AZ152">
        <v>1</v>
      </c>
    </row>
    <row r="153" spans="1:52" x14ac:dyDescent="0.35">
      <c r="A153">
        <v>2025221541101</v>
      </c>
      <c r="B153">
        <v>2025</v>
      </c>
      <c r="C153">
        <v>221541101</v>
      </c>
      <c r="D153">
        <v>396483</v>
      </c>
      <c r="E153">
        <v>270206</v>
      </c>
      <c r="F153">
        <v>-2.0530300000000001</v>
      </c>
      <c r="G153">
        <v>52.329929999999997</v>
      </c>
      <c r="H153">
        <v>22</v>
      </c>
      <c r="I153">
        <v>2</v>
      </c>
      <c r="J153" t="str">
        <f>VLOOKUP(I153, Lookups!$B$1:$C$4, 2, FALSE)</f>
        <v>Serious</v>
      </c>
      <c r="K153">
        <v>1</v>
      </c>
      <c r="L153">
        <v>1</v>
      </c>
      <c r="M153" s="1">
        <v>45670</v>
      </c>
      <c r="N153">
        <v>2</v>
      </c>
      <c r="O153" t="str">
        <f>VLOOKUP(N153, Lookups!$B$6:$C$12, 2, FALSE)</f>
        <v>Monday</v>
      </c>
      <c r="P153" s="2">
        <v>0.81388888888888888</v>
      </c>
      <c r="Q153">
        <v>-1</v>
      </c>
      <c r="R153" t="s">
        <v>47</v>
      </c>
      <c r="S153" t="s">
        <v>45</v>
      </c>
      <c r="T153" t="s">
        <v>45</v>
      </c>
      <c r="U153">
        <v>3</v>
      </c>
      <c r="V153" t="str">
        <f>VLOOKUP(U153, Lookups!$B$51:$C$57, 2, FALSE)</f>
        <v>A</v>
      </c>
      <c r="W153">
        <v>38</v>
      </c>
      <c r="X153" t="str">
        <f t="shared" si="20"/>
        <v>A38</v>
      </c>
      <c r="Y153">
        <v>3</v>
      </c>
      <c r="Z153" t="str">
        <f>VLOOKUP(Y153, Lookups!$B$14:$C$21, 2, FALSE)</f>
        <v>Dual carriageway</v>
      </c>
      <c r="AA153">
        <v>60</v>
      </c>
      <c r="AB153">
        <v>-1</v>
      </c>
      <c r="AC153">
        <v>16</v>
      </c>
      <c r="AD153">
        <v>2</v>
      </c>
      <c r="AE153">
        <v>4</v>
      </c>
      <c r="AF153">
        <v>4184</v>
      </c>
      <c r="AG153">
        <v>-1</v>
      </c>
      <c r="AH153">
        <v>-1</v>
      </c>
      <c r="AI153">
        <v>15</v>
      </c>
      <c r="AJ153">
        <v>5</v>
      </c>
      <c r="AK153" t="str">
        <f>VLOOKUP(AJ153, Lookups!$B$23:$C$28, 2, FALSE)</f>
        <v>Darkness (Unlit)</v>
      </c>
      <c r="AL153">
        <v>1</v>
      </c>
      <c r="AM153" t="str">
        <f>VLOOKUP(AL153, Lookups!$B$30:$C$39, 2, FALSE)</f>
        <v>Fine / Clear</v>
      </c>
      <c r="AN153">
        <v>2</v>
      </c>
      <c r="AO153" t="str">
        <f>VLOOKUP(AN153, Lookups!$B$41:$C$49, 2, FALSE)</f>
        <v>Wet / damp</v>
      </c>
      <c r="AP153">
        <v>-1</v>
      </c>
      <c r="AQ153">
        <v>-1</v>
      </c>
      <c r="AR153">
        <v>13</v>
      </c>
      <c r="AS153">
        <v>1</v>
      </c>
      <c r="AT153">
        <v>1</v>
      </c>
      <c r="AU153">
        <v>2</v>
      </c>
      <c r="AV153" t="s">
        <v>133</v>
      </c>
      <c r="AW153">
        <v>7</v>
      </c>
      <c r="AX153">
        <v>1</v>
      </c>
      <c r="AY153">
        <v>1</v>
      </c>
      <c r="AZ153">
        <v>0</v>
      </c>
    </row>
    <row r="154" spans="1:52" x14ac:dyDescent="0.35">
      <c r="A154">
        <v>2025221636155</v>
      </c>
      <c r="B154">
        <v>2025</v>
      </c>
      <c r="C154">
        <v>221636155</v>
      </c>
      <c r="D154">
        <v>383967</v>
      </c>
      <c r="E154">
        <v>254280</v>
      </c>
      <c r="F154">
        <v>-2.2359300000000002</v>
      </c>
      <c r="G154">
        <v>52.186529999999998</v>
      </c>
      <c r="H154">
        <v>22</v>
      </c>
      <c r="I154">
        <v>3</v>
      </c>
      <c r="J154" t="str">
        <f>VLOOKUP(I154, Lookups!$B$1:$C$4, 2, FALSE)</f>
        <v>Slight</v>
      </c>
      <c r="K154">
        <v>1</v>
      </c>
      <c r="L154">
        <v>2</v>
      </c>
      <c r="M154" s="1">
        <v>45899</v>
      </c>
      <c r="N154">
        <v>7</v>
      </c>
      <c r="O154" t="str">
        <f>VLOOKUP(N154, Lookups!$B$6:$C$12, 2, FALSE)</f>
        <v>Saturday</v>
      </c>
      <c r="P154" s="2">
        <v>0.73472222222222228</v>
      </c>
      <c r="Q154">
        <v>-1</v>
      </c>
      <c r="R154" t="s">
        <v>60</v>
      </c>
      <c r="S154" t="s">
        <v>45</v>
      </c>
      <c r="T154" t="s">
        <v>45</v>
      </c>
      <c r="U154">
        <v>4</v>
      </c>
      <c r="V154" t="str">
        <f>VLOOKUP(U154, Lookups!$B$51:$C$57, 2, FALSE)</f>
        <v>B</v>
      </c>
      <c r="W154">
        <v>4206</v>
      </c>
      <c r="X154" t="str">
        <f t="shared" si="20"/>
        <v>B4206</v>
      </c>
      <c r="Y154">
        <v>6</v>
      </c>
      <c r="Z154" t="str">
        <f>VLOOKUP(Y154, Lookups!$B$14:$C$21, 2, FALSE)</f>
        <v>Single carriageway</v>
      </c>
      <c r="AA154">
        <v>30</v>
      </c>
      <c r="AB154">
        <v>-1</v>
      </c>
      <c r="AC154">
        <v>13</v>
      </c>
      <c r="AD154">
        <v>2</v>
      </c>
      <c r="AE154">
        <v>6</v>
      </c>
      <c r="AF154">
        <v>0</v>
      </c>
      <c r="AG154">
        <v>-1</v>
      </c>
      <c r="AH154">
        <v>-1</v>
      </c>
      <c r="AI154">
        <v>15</v>
      </c>
      <c r="AJ154">
        <v>1</v>
      </c>
      <c r="AK154" t="str">
        <f>VLOOKUP(AJ154, Lookups!$B$23:$C$28, 2, FALSE)</f>
        <v>Daylight</v>
      </c>
      <c r="AL154">
        <v>1</v>
      </c>
      <c r="AM154" t="str">
        <f>VLOOKUP(AL154, Lookups!$B$30:$C$39, 2, FALSE)</f>
        <v>Fine / Clear</v>
      </c>
      <c r="AN154">
        <v>1</v>
      </c>
      <c r="AO154" t="str">
        <f>VLOOKUP(AN154, Lookups!$B$41:$C$49, 2, FALSE)</f>
        <v>Dry</v>
      </c>
      <c r="AP154">
        <v>-1</v>
      </c>
      <c r="AQ154">
        <v>-1</v>
      </c>
      <c r="AR154">
        <v>0</v>
      </c>
      <c r="AS154">
        <v>1</v>
      </c>
      <c r="AT154">
        <v>1</v>
      </c>
      <c r="AU154">
        <v>2</v>
      </c>
      <c r="AV154" t="s">
        <v>160</v>
      </c>
      <c r="AW154">
        <v>3</v>
      </c>
      <c r="AX154">
        <v>1</v>
      </c>
      <c r="AY154">
        <v>0</v>
      </c>
      <c r="AZ154">
        <v>1</v>
      </c>
    </row>
    <row r="155" spans="1:52" x14ac:dyDescent="0.35">
      <c r="A155">
        <v>2025221639569</v>
      </c>
      <c r="B155">
        <v>2025</v>
      </c>
      <c r="C155">
        <v>221639569</v>
      </c>
      <c r="D155">
        <v>380153</v>
      </c>
      <c r="E155">
        <v>241012</v>
      </c>
      <c r="F155">
        <v>-2.29094</v>
      </c>
      <c r="G155">
        <v>52.067120000000003</v>
      </c>
      <c r="H155">
        <v>22</v>
      </c>
      <c r="I155">
        <v>3</v>
      </c>
      <c r="J155" t="str">
        <f>VLOOKUP(I155, Lookups!$B$1:$C$4, 2, FALSE)</f>
        <v>Slight</v>
      </c>
      <c r="K155">
        <v>2</v>
      </c>
      <c r="L155">
        <v>1</v>
      </c>
      <c r="M155" s="1">
        <v>45910</v>
      </c>
      <c r="N155">
        <v>4</v>
      </c>
      <c r="O155" t="str">
        <f>VLOOKUP(N155, Lookups!$B$6:$C$12, 2, FALSE)</f>
        <v>Wednesday</v>
      </c>
      <c r="P155" s="2">
        <v>0.28819444444444442</v>
      </c>
      <c r="Q155">
        <v>-1</v>
      </c>
      <c r="R155" t="s">
        <v>49</v>
      </c>
      <c r="S155" t="s">
        <v>45</v>
      </c>
      <c r="T155" t="s">
        <v>45</v>
      </c>
      <c r="U155">
        <v>4</v>
      </c>
      <c r="V155" t="str">
        <f>VLOOKUP(U155, Lookups!$B$51:$C$57, 2, FALSE)</f>
        <v>B</v>
      </c>
      <c r="W155">
        <v>4208</v>
      </c>
      <c r="X155" t="str">
        <f t="shared" si="20"/>
        <v>B4208</v>
      </c>
      <c r="Y155">
        <v>6</v>
      </c>
      <c r="Z155" t="str">
        <f>VLOOKUP(Y155, Lookups!$B$14:$C$21, 2, FALSE)</f>
        <v>Single carriageway</v>
      </c>
      <c r="AA155">
        <v>60</v>
      </c>
      <c r="AB155">
        <v>-1</v>
      </c>
      <c r="AC155">
        <v>16</v>
      </c>
      <c r="AD155">
        <v>4</v>
      </c>
      <c r="AE155">
        <v>6</v>
      </c>
      <c r="AF155">
        <v>0</v>
      </c>
      <c r="AG155">
        <v>-1</v>
      </c>
      <c r="AH155">
        <v>-1</v>
      </c>
      <c r="AI155">
        <v>0</v>
      </c>
      <c r="AJ155">
        <v>1</v>
      </c>
      <c r="AK155" t="str">
        <f>VLOOKUP(AJ155, Lookups!$B$23:$C$28, 2, FALSE)</f>
        <v>Daylight</v>
      </c>
      <c r="AL155">
        <v>1</v>
      </c>
      <c r="AM155" t="str">
        <f>VLOOKUP(AL155, Lookups!$B$30:$C$39, 2, FALSE)</f>
        <v>Fine / Clear</v>
      </c>
      <c r="AN155">
        <v>2</v>
      </c>
      <c r="AO155" t="str">
        <f>VLOOKUP(AN155, Lookups!$B$41:$C$49, 2, FALSE)</f>
        <v>Wet / damp</v>
      </c>
      <c r="AP155">
        <v>-1</v>
      </c>
      <c r="AQ155">
        <v>-1</v>
      </c>
      <c r="AR155">
        <v>0</v>
      </c>
      <c r="AS155">
        <v>2</v>
      </c>
      <c r="AT155">
        <v>1</v>
      </c>
      <c r="AU155">
        <v>2</v>
      </c>
      <c r="AV155" t="s">
        <v>161</v>
      </c>
      <c r="AW155">
        <v>3</v>
      </c>
      <c r="AX155">
        <v>1</v>
      </c>
      <c r="AY155">
        <v>0</v>
      </c>
      <c r="AZ155">
        <v>1</v>
      </c>
    </row>
    <row r="156" spans="1:52" x14ac:dyDescent="0.35">
      <c r="A156">
        <v>2025221675409</v>
      </c>
      <c r="B156">
        <v>2025</v>
      </c>
      <c r="C156">
        <v>221675409</v>
      </c>
      <c r="D156">
        <v>405987</v>
      </c>
      <c r="E156">
        <v>245526</v>
      </c>
      <c r="F156">
        <v>-1.9139999999999999</v>
      </c>
      <c r="G156">
        <v>52.108029999999999</v>
      </c>
      <c r="H156">
        <v>22</v>
      </c>
      <c r="I156">
        <v>3</v>
      </c>
      <c r="J156" t="str">
        <f>VLOOKUP(I156, Lookups!$B$1:$C$4, 2, FALSE)</f>
        <v>Slight</v>
      </c>
      <c r="K156">
        <v>1</v>
      </c>
      <c r="L156">
        <v>1</v>
      </c>
      <c r="M156" s="1">
        <v>45989</v>
      </c>
      <c r="N156">
        <v>6</v>
      </c>
      <c r="O156" t="str">
        <f>VLOOKUP(N156, Lookups!$B$6:$C$12, 2, FALSE)</f>
        <v>Friday</v>
      </c>
      <c r="P156" s="2">
        <v>0.68680555555555556</v>
      </c>
      <c r="Q156">
        <v>-1</v>
      </c>
      <c r="R156" t="s">
        <v>54</v>
      </c>
      <c r="S156" t="s">
        <v>45</v>
      </c>
      <c r="T156" t="s">
        <v>45</v>
      </c>
      <c r="U156">
        <v>6</v>
      </c>
      <c r="V156" t="str">
        <f>VLOOKUP(U156, Lookups!$B$51:$C$57, 2, FALSE)</f>
        <v>Unclassified</v>
      </c>
      <c r="W156">
        <v>0</v>
      </c>
      <c r="X156" t="s">
        <v>362</v>
      </c>
      <c r="Y156">
        <v>6</v>
      </c>
      <c r="Z156" t="str">
        <f>VLOOKUP(Y156, Lookups!$B$14:$C$21, 2, FALSE)</f>
        <v>Single carriageway</v>
      </c>
      <c r="AA156">
        <v>40</v>
      </c>
      <c r="AB156">
        <v>-1</v>
      </c>
      <c r="AC156">
        <v>0</v>
      </c>
      <c r="AD156">
        <v>-1</v>
      </c>
      <c r="AE156">
        <v>4</v>
      </c>
      <c r="AF156">
        <v>4510</v>
      </c>
      <c r="AG156">
        <v>-1</v>
      </c>
      <c r="AH156">
        <v>-1</v>
      </c>
      <c r="AI156">
        <v>0</v>
      </c>
      <c r="AJ156">
        <v>6</v>
      </c>
      <c r="AK156" t="str">
        <f>VLOOKUP(AJ156, Lookups!$B$23:$C$28, 2, FALSE)</f>
        <v>Darkness (Unlit)</v>
      </c>
      <c r="AL156">
        <v>2</v>
      </c>
      <c r="AM156" t="str">
        <f>VLOOKUP(AL156, Lookups!$B$30:$C$39, 2, FALSE)</f>
        <v>Rain</v>
      </c>
      <c r="AN156">
        <v>2</v>
      </c>
      <c r="AO156" t="str">
        <f>VLOOKUP(AN156, Lookups!$B$41:$C$49, 2, FALSE)</f>
        <v>Wet / damp</v>
      </c>
      <c r="AP156">
        <v>-1</v>
      </c>
      <c r="AQ156">
        <v>-1</v>
      </c>
      <c r="AR156">
        <v>0</v>
      </c>
      <c r="AS156">
        <v>2</v>
      </c>
      <c r="AT156">
        <v>1</v>
      </c>
      <c r="AU156">
        <v>2</v>
      </c>
      <c r="AV156" t="s">
        <v>162</v>
      </c>
      <c r="AW156">
        <v>3</v>
      </c>
      <c r="AX156">
        <v>1</v>
      </c>
      <c r="AY156">
        <v>0</v>
      </c>
      <c r="AZ156">
        <v>1</v>
      </c>
    </row>
    <row r="157" spans="1:52" x14ac:dyDescent="0.35">
      <c r="A157">
        <v>2025221599191</v>
      </c>
      <c r="B157">
        <v>2025</v>
      </c>
      <c r="C157">
        <v>221599191</v>
      </c>
      <c r="D157">
        <v>385574</v>
      </c>
      <c r="E157">
        <v>256145</v>
      </c>
      <c r="F157">
        <v>-2.21251</v>
      </c>
      <c r="G157">
        <v>52.203339999999997</v>
      </c>
      <c r="H157">
        <v>22</v>
      </c>
      <c r="I157">
        <v>3</v>
      </c>
      <c r="J157" t="str">
        <f>VLOOKUP(I157, Lookups!$B$1:$C$4, 2, FALSE)</f>
        <v>Slight</v>
      </c>
      <c r="K157">
        <v>3</v>
      </c>
      <c r="L157">
        <v>1</v>
      </c>
      <c r="M157" s="1">
        <v>45813</v>
      </c>
      <c r="N157">
        <v>5</v>
      </c>
      <c r="O157" t="str">
        <f>VLOOKUP(N157, Lookups!$B$6:$C$12, 2, FALSE)</f>
        <v>Thursday</v>
      </c>
      <c r="P157" s="2">
        <v>0.79166666666666663</v>
      </c>
      <c r="Q157">
        <v>-1</v>
      </c>
      <c r="R157" t="s">
        <v>60</v>
      </c>
      <c r="S157" t="s">
        <v>45</v>
      </c>
      <c r="T157" t="s">
        <v>45</v>
      </c>
      <c r="U157">
        <v>6</v>
      </c>
      <c r="V157" t="str">
        <f>VLOOKUP(U157, Lookups!$B$51:$C$57, 2, FALSE)</f>
        <v>Unclassified</v>
      </c>
      <c r="W157">
        <v>0</v>
      </c>
      <c r="X157" t="s">
        <v>362</v>
      </c>
      <c r="Y157">
        <v>6</v>
      </c>
      <c r="Z157" t="str">
        <f>VLOOKUP(Y157, Lookups!$B$14:$C$21, 2, FALSE)</f>
        <v>Single carriageway</v>
      </c>
      <c r="AA157">
        <v>30</v>
      </c>
      <c r="AB157">
        <v>-1</v>
      </c>
      <c r="AC157">
        <v>13</v>
      </c>
      <c r="AD157">
        <v>4</v>
      </c>
      <c r="AE157">
        <v>6</v>
      </c>
      <c r="AF157">
        <v>0</v>
      </c>
      <c r="AG157">
        <v>-1</v>
      </c>
      <c r="AH157">
        <v>-1</v>
      </c>
      <c r="AI157">
        <v>0</v>
      </c>
      <c r="AJ157">
        <v>1</v>
      </c>
      <c r="AK157" t="str">
        <f>VLOOKUP(AJ157, Lookups!$B$23:$C$28, 2, FALSE)</f>
        <v>Daylight</v>
      </c>
      <c r="AL157">
        <v>2</v>
      </c>
      <c r="AM157" t="str">
        <f>VLOOKUP(AL157, Lookups!$B$30:$C$39, 2, FALSE)</f>
        <v>Rain</v>
      </c>
      <c r="AN157">
        <v>2</v>
      </c>
      <c r="AO157" t="str">
        <f>VLOOKUP(AN157, Lookups!$B$41:$C$49, 2, FALSE)</f>
        <v>Wet / damp</v>
      </c>
      <c r="AP157">
        <v>-1</v>
      </c>
      <c r="AQ157">
        <v>-1</v>
      </c>
      <c r="AR157">
        <v>0</v>
      </c>
      <c r="AS157">
        <v>1</v>
      </c>
      <c r="AT157">
        <v>1</v>
      </c>
      <c r="AU157">
        <v>2</v>
      </c>
      <c r="AV157" t="s">
        <v>163</v>
      </c>
      <c r="AW157">
        <v>3</v>
      </c>
      <c r="AX157">
        <v>1</v>
      </c>
      <c r="AY157">
        <v>0</v>
      </c>
      <c r="AZ157">
        <v>1</v>
      </c>
    </row>
    <row r="158" spans="1:52" x14ac:dyDescent="0.35">
      <c r="A158">
        <v>2025221605449</v>
      </c>
      <c r="B158">
        <v>2025</v>
      </c>
      <c r="C158">
        <v>221605449</v>
      </c>
      <c r="D158">
        <v>404417</v>
      </c>
      <c r="E158">
        <v>263013</v>
      </c>
      <c r="F158">
        <v>-1.9367000000000001</v>
      </c>
      <c r="G158">
        <v>52.265259999999998</v>
      </c>
      <c r="H158">
        <v>22</v>
      </c>
      <c r="I158">
        <v>3</v>
      </c>
      <c r="J158" t="str">
        <f>VLOOKUP(I158, Lookups!$B$1:$C$4, 2, FALSE)</f>
        <v>Slight</v>
      </c>
      <c r="K158">
        <v>2</v>
      </c>
      <c r="L158">
        <v>1</v>
      </c>
      <c r="M158" s="1">
        <v>45827</v>
      </c>
      <c r="N158">
        <v>5</v>
      </c>
      <c r="O158" t="str">
        <f>VLOOKUP(N158, Lookups!$B$6:$C$12, 2, FALSE)</f>
        <v>Thursday</v>
      </c>
      <c r="P158" s="2">
        <v>0.75347222222222221</v>
      </c>
      <c r="Q158">
        <v>-1</v>
      </c>
      <c r="R158" t="s">
        <v>69</v>
      </c>
      <c r="S158" t="s">
        <v>45</v>
      </c>
      <c r="T158" t="s">
        <v>45</v>
      </c>
      <c r="U158">
        <v>3</v>
      </c>
      <c r="V158" t="str">
        <f>VLOOKUP(U158, Lookups!$B$51:$C$57, 2, FALSE)</f>
        <v>A</v>
      </c>
      <c r="W158">
        <v>441</v>
      </c>
      <c r="X158" t="str">
        <f t="shared" ref="X158:X160" si="21">V158&amp;W158</f>
        <v>A441</v>
      </c>
      <c r="Y158">
        <v>6</v>
      </c>
      <c r="Z158" t="str">
        <f>VLOOKUP(Y158, Lookups!$B$14:$C$21, 2, FALSE)</f>
        <v>Single carriageway</v>
      </c>
      <c r="AA158">
        <v>30</v>
      </c>
      <c r="AB158">
        <v>-1</v>
      </c>
      <c r="AC158">
        <v>13</v>
      </c>
      <c r="AD158">
        <v>4</v>
      </c>
      <c r="AE158">
        <v>6</v>
      </c>
      <c r="AF158">
        <v>0</v>
      </c>
      <c r="AG158">
        <v>-1</v>
      </c>
      <c r="AH158">
        <v>-1</v>
      </c>
      <c r="AI158">
        <v>0</v>
      </c>
      <c r="AJ158">
        <v>1</v>
      </c>
      <c r="AK158" t="str">
        <f>VLOOKUP(AJ158, Lookups!$B$23:$C$28, 2, FALSE)</f>
        <v>Daylight</v>
      </c>
      <c r="AL158">
        <v>1</v>
      </c>
      <c r="AM158" t="str">
        <f>VLOOKUP(AL158, Lookups!$B$30:$C$39, 2, FALSE)</f>
        <v>Fine / Clear</v>
      </c>
      <c r="AN158">
        <v>1</v>
      </c>
      <c r="AO158" t="str">
        <f>VLOOKUP(AN158, Lookups!$B$41:$C$49, 2, FALSE)</f>
        <v>Dry</v>
      </c>
      <c r="AP158">
        <v>-1</v>
      </c>
      <c r="AQ158">
        <v>-1</v>
      </c>
      <c r="AR158">
        <v>0</v>
      </c>
      <c r="AS158">
        <v>1</v>
      </c>
      <c r="AT158">
        <v>3</v>
      </c>
      <c r="AU158">
        <v>2</v>
      </c>
      <c r="AV158" t="s">
        <v>164</v>
      </c>
      <c r="AW158">
        <v>3</v>
      </c>
      <c r="AX158">
        <v>1</v>
      </c>
      <c r="AY158">
        <v>0</v>
      </c>
      <c r="AZ158">
        <v>1</v>
      </c>
    </row>
    <row r="159" spans="1:52" x14ac:dyDescent="0.35">
      <c r="A159">
        <v>2025221648980</v>
      </c>
      <c r="B159">
        <v>2025</v>
      </c>
      <c r="C159">
        <v>221648980</v>
      </c>
      <c r="D159">
        <v>395098</v>
      </c>
      <c r="E159">
        <v>245451</v>
      </c>
      <c r="F159">
        <v>-2.0729899999999999</v>
      </c>
      <c r="G159">
        <v>52.107370000000003</v>
      </c>
      <c r="H159">
        <v>22</v>
      </c>
      <c r="I159">
        <v>3</v>
      </c>
      <c r="J159" t="str">
        <f>VLOOKUP(I159, Lookups!$B$1:$C$4, 2, FALSE)</f>
        <v>Slight</v>
      </c>
      <c r="K159">
        <v>2</v>
      </c>
      <c r="L159">
        <v>1</v>
      </c>
      <c r="M159" s="1">
        <v>45931</v>
      </c>
      <c r="N159">
        <v>4</v>
      </c>
      <c r="O159" t="str">
        <f>VLOOKUP(N159, Lookups!$B$6:$C$12, 2, FALSE)</f>
        <v>Wednesday</v>
      </c>
      <c r="P159" s="2">
        <v>0.51041666666666663</v>
      </c>
      <c r="Q159">
        <v>-1</v>
      </c>
      <c r="R159" t="s">
        <v>54</v>
      </c>
      <c r="S159" t="s">
        <v>45</v>
      </c>
      <c r="T159" t="s">
        <v>45</v>
      </c>
      <c r="U159">
        <v>4</v>
      </c>
      <c r="V159" t="str">
        <f>VLOOKUP(U159, Lookups!$B$51:$C$57, 2, FALSE)</f>
        <v>B</v>
      </c>
      <c r="W159">
        <v>4084</v>
      </c>
      <c r="X159" t="str">
        <f t="shared" si="21"/>
        <v>B4084</v>
      </c>
      <c r="Y159">
        <v>6</v>
      </c>
      <c r="Z159" t="str">
        <f>VLOOKUP(Y159, Lookups!$B$14:$C$21, 2, FALSE)</f>
        <v>Single carriageway</v>
      </c>
      <c r="AA159">
        <v>20</v>
      </c>
      <c r="AB159">
        <v>-1</v>
      </c>
      <c r="AC159">
        <v>0</v>
      </c>
      <c r="AD159">
        <v>-1</v>
      </c>
      <c r="AE159">
        <v>6</v>
      </c>
      <c r="AF159">
        <v>0</v>
      </c>
      <c r="AG159">
        <v>-1</v>
      </c>
      <c r="AH159">
        <v>-1</v>
      </c>
      <c r="AI159">
        <v>0</v>
      </c>
      <c r="AJ159">
        <v>1</v>
      </c>
      <c r="AK159" t="str">
        <f>VLOOKUP(AJ159, Lookups!$B$23:$C$28, 2, FALSE)</f>
        <v>Daylight</v>
      </c>
      <c r="AL159">
        <v>1</v>
      </c>
      <c r="AM159" t="str">
        <f>VLOOKUP(AL159, Lookups!$B$30:$C$39, 2, FALSE)</f>
        <v>Fine / Clear</v>
      </c>
      <c r="AN159">
        <v>1</v>
      </c>
      <c r="AO159" t="str">
        <f>VLOOKUP(AN159, Lookups!$B$41:$C$49, 2, FALSE)</f>
        <v>Dry</v>
      </c>
      <c r="AP159">
        <v>-1</v>
      </c>
      <c r="AQ159">
        <v>-1</v>
      </c>
      <c r="AR159">
        <v>0</v>
      </c>
      <c r="AS159">
        <v>2</v>
      </c>
      <c r="AT159">
        <v>3</v>
      </c>
      <c r="AU159">
        <v>2</v>
      </c>
      <c r="AV159" t="s">
        <v>165</v>
      </c>
      <c r="AW159">
        <v>3</v>
      </c>
      <c r="AX159">
        <v>1</v>
      </c>
      <c r="AY159">
        <v>0</v>
      </c>
      <c r="AZ159">
        <v>1</v>
      </c>
    </row>
    <row r="160" spans="1:52" x14ac:dyDescent="0.35">
      <c r="A160">
        <v>2025221690080</v>
      </c>
      <c r="B160">
        <v>2025</v>
      </c>
      <c r="C160">
        <v>221690080</v>
      </c>
      <c r="D160">
        <v>377182</v>
      </c>
      <c r="E160">
        <v>247051</v>
      </c>
      <c r="F160">
        <v>-2.3346900000000002</v>
      </c>
      <c r="G160">
        <v>52.121299999999998</v>
      </c>
      <c r="H160">
        <v>22</v>
      </c>
      <c r="I160">
        <v>3</v>
      </c>
      <c r="J160" t="str">
        <f>VLOOKUP(I160, Lookups!$B$1:$C$4, 2, FALSE)</f>
        <v>Slight</v>
      </c>
      <c r="K160">
        <v>2</v>
      </c>
      <c r="L160">
        <v>1</v>
      </c>
      <c r="M160" s="1">
        <v>46022</v>
      </c>
      <c r="N160">
        <v>4</v>
      </c>
      <c r="O160" t="str">
        <f>VLOOKUP(N160, Lookups!$B$6:$C$12, 2, FALSE)</f>
        <v>Wednesday</v>
      </c>
      <c r="P160" s="2">
        <v>0.67152777777777772</v>
      </c>
      <c r="Q160">
        <v>-1</v>
      </c>
      <c r="R160" t="s">
        <v>49</v>
      </c>
      <c r="S160" t="s">
        <v>45</v>
      </c>
      <c r="T160" t="s">
        <v>45</v>
      </c>
      <c r="U160">
        <v>4</v>
      </c>
      <c r="V160" t="str">
        <f>VLOOKUP(U160, Lookups!$B$51:$C$57, 2, FALSE)</f>
        <v>B</v>
      </c>
      <c r="W160">
        <v>4219</v>
      </c>
      <c r="X160" t="str">
        <f t="shared" si="21"/>
        <v>B4219</v>
      </c>
      <c r="Y160">
        <v>6</v>
      </c>
      <c r="Z160" t="str">
        <f>VLOOKUP(Y160, Lookups!$B$14:$C$21, 2, FALSE)</f>
        <v>Single carriageway</v>
      </c>
      <c r="AA160">
        <v>30</v>
      </c>
      <c r="AB160">
        <v>-1</v>
      </c>
      <c r="AC160">
        <v>18</v>
      </c>
      <c r="AD160">
        <v>4</v>
      </c>
      <c r="AE160">
        <v>6</v>
      </c>
      <c r="AF160">
        <v>0</v>
      </c>
      <c r="AG160">
        <v>-1</v>
      </c>
      <c r="AH160">
        <v>-1</v>
      </c>
      <c r="AI160">
        <v>0</v>
      </c>
      <c r="AJ160">
        <v>1</v>
      </c>
      <c r="AK160" t="str">
        <f>VLOOKUP(AJ160, Lookups!$B$23:$C$28, 2, FALSE)</f>
        <v>Daylight</v>
      </c>
      <c r="AL160">
        <v>1</v>
      </c>
      <c r="AM160" t="str">
        <f>VLOOKUP(AL160, Lookups!$B$30:$C$39, 2, FALSE)</f>
        <v>Fine / Clear</v>
      </c>
      <c r="AN160">
        <v>1</v>
      </c>
      <c r="AO160" t="str">
        <f>VLOOKUP(AN160, Lookups!$B$41:$C$49, 2, FALSE)</f>
        <v>Dry</v>
      </c>
      <c r="AP160">
        <v>-1</v>
      </c>
      <c r="AQ160">
        <v>-1</v>
      </c>
      <c r="AR160">
        <v>0</v>
      </c>
      <c r="AS160">
        <v>1</v>
      </c>
      <c r="AT160">
        <v>3</v>
      </c>
      <c r="AU160">
        <v>2</v>
      </c>
      <c r="AV160" t="s">
        <v>166</v>
      </c>
      <c r="AW160">
        <v>3</v>
      </c>
      <c r="AX160">
        <v>1</v>
      </c>
      <c r="AY160">
        <v>0</v>
      </c>
      <c r="AZ160">
        <v>1</v>
      </c>
    </row>
    <row r="161" spans="1:52" x14ac:dyDescent="0.35">
      <c r="A161">
        <v>2025221653164</v>
      </c>
      <c r="B161">
        <v>2025</v>
      </c>
      <c r="C161">
        <v>221653164</v>
      </c>
      <c r="D161">
        <v>388080</v>
      </c>
      <c r="E161">
        <v>255137</v>
      </c>
      <c r="F161">
        <v>-2.1758000000000002</v>
      </c>
      <c r="G161">
        <v>52.194339999999997</v>
      </c>
      <c r="H161">
        <v>22</v>
      </c>
      <c r="I161">
        <v>3</v>
      </c>
      <c r="J161" t="str">
        <f>VLOOKUP(I161, Lookups!$B$1:$C$4, 2, FALSE)</f>
        <v>Slight</v>
      </c>
      <c r="K161">
        <v>2</v>
      </c>
      <c r="L161">
        <v>1</v>
      </c>
      <c r="M161" s="1">
        <v>45941</v>
      </c>
      <c r="N161">
        <v>7</v>
      </c>
      <c r="O161" t="str">
        <f>VLOOKUP(N161, Lookups!$B$6:$C$12, 2, FALSE)</f>
        <v>Saturday</v>
      </c>
      <c r="P161" s="2">
        <v>0.37569444444444444</v>
      </c>
      <c r="Q161">
        <v>-1</v>
      </c>
      <c r="R161" t="s">
        <v>60</v>
      </c>
      <c r="S161" t="s">
        <v>45</v>
      </c>
      <c r="T161" t="s">
        <v>45</v>
      </c>
      <c r="U161">
        <v>6</v>
      </c>
      <c r="V161" t="str">
        <f>VLOOKUP(U161, Lookups!$B$51:$C$57, 2, FALSE)</f>
        <v>Unclassified</v>
      </c>
      <c r="W161">
        <v>0</v>
      </c>
      <c r="X161" t="s">
        <v>362</v>
      </c>
      <c r="Y161">
        <v>6</v>
      </c>
      <c r="Z161" t="str">
        <f>VLOOKUP(Y161, Lookups!$B$14:$C$21, 2, FALSE)</f>
        <v>Single carriageway</v>
      </c>
      <c r="AA161">
        <v>30</v>
      </c>
      <c r="AB161">
        <v>-1</v>
      </c>
      <c r="AC161">
        <v>0</v>
      </c>
      <c r="AD161">
        <v>-1</v>
      </c>
      <c r="AE161">
        <v>6</v>
      </c>
      <c r="AF161">
        <v>0</v>
      </c>
      <c r="AG161">
        <v>-1</v>
      </c>
      <c r="AH161">
        <v>-1</v>
      </c>
      <c r="AI161">
        <v>0</v>
      </c>
      <c r="AJ161">
        <v>1</v>
      </c>
      <c r="AK161" t="str">
        <f>VLOOKUP(AJ161, Lookups!$B$23:$C$28, 2, FALSE)</f>
        <v>Daylight</v>
      </c>
      <c r="AL161">
        <v>1</v>
      </c>
      <c r="AM161" t="str">
        <f>VLOOKUP(AL161, Lookups!$B$30:$C$39, 2, FALSE)</f>
        <v>Fine / Clear</v>
      </c>
      <c r="AN161">
        <v>1</v>
      </c>
      <c r="AO161" t="str">
        <f>VLOOKUP(AN161, Lookups!$B$41:$C$49, 2, FALSE)</f>
        <v>Dry</v>
      </c>
      <c r="AP161">
        <v>-1</v>
      </c>
      <c r="AQ161">
        <v>-1</v>
      </c>
      <c r="AR161">
        <v>0</v>
      </c>
      <c r="AS161">
        <v>1</v>
      </c>
      <c r="AT161">
        <v>1</v>
      </c>
      <c r="AU161">
        <v>2</v>
      </c>
      <c r="AV161" t="s">
        <v>167</v>
      </c>
      <c r="AW161">
        <v>3</v>
      </c>
      <c r="AX161">
        <v>1</v>
      </c>
      <c r="AY161">
        <v>0</v>
      </c>
      <c r="AZ161">
        <v>1</v>
      </c>
    </row>
    <row r="162" spans="1:52" x14ac:dyDescent="0.35">
      <c r="A162">
        <v>2025221682268</v>
      </c>
      <c r="B162">
        <v>2025</v>
      </c>
      <c r="C162">
        <v>221682268</v>
      </c>
      <c r="D162">
        <v>387082</v>
      </c>
      <c r="E162">
        <v>280374</v>
      </c>
      <c r="F162">
        <v>-2.1913800000000001</v>
      </c>
      <c r="G162">
        <v>52.421199999999999</v>
      </c>
      <c r="H162">
        <v>22</v>
      </c>
      <c r="I162">
        <v>2</v>
      </c>
      <c r="J162" t="str">
        <f>VLOOKUP(I162, Lookups!$B$1:$C$4, 2, FALSE)</f>
        <v>Serious</v>
      </c>
      <c r="K162">
        <v>2</v>
      </c>
      <c r="L162">
        <v>4</v>
      </c>
      <c r="M162" s="1">
        <v>46003</v>
      </c>
      <c r="N162">
        <v>6</v>
      </c>
      <c r="O162" t="str">
        <f>VLOOKUP(N162, Lookups!$B$6:$C$12, 2, FALSE)</f>
        <v>Friday</v>
      </c>
      <c r="P162" s="2">
        <v>0.65972222222222221</v>
      </c>
      <c r="Q162">
        <v>-1</v>
      </c>
      <c r="R162" t="s">
        <v>44</v>
      </c>
      <c r="S162" t="s">
        <v>45</v>
      </c>
      <c r="T162" t="s">
        <v>45</v>
      </c>
      <c r="U162">
        <v>3</v>
      </c>
      <c r="V162" t="str">
        <f>VLOOKUP(U162, Lookups!$B$51:$C$57, 2, FALSE)</f>
        <v>A</v>
      </c>
      <c r="W162">
        <v>451</v>
      </c>
      <c r="X162" t="str">
        <f t="shared" ref="X162:X164" si="22">V162&amp;W162</f>
        <v>A451</v>
      </c>
      <c r="Y162">
        <v>6</v>
      </c>
      <c r="Z162" t="str">
        <f>VLOOKUP(Y162, Lookups!$B$14:$C$21, 2, FALSE)</f>
        <v>Single carriageway</v>
      </c>
      <c r="AA162">
        <v>60</v>
      </c>
      <c r="AB162">
        <v>-1</v>
      </c>
      <c r="AC162">
        <v>13</v>
      </c>
      <c r="AD162">
        <v>4</v>
      </c>
      <c r="AE162">
        <v>6</v>
      </c>
      <c r="AF162">
        <v>0</v>
      </c>
      <c r="AG162">
        <v>-1</v>
      </c>
      <c r="AH162">
        <v>-1</v>
      </c>
      <c r="AI162">
        <v>0</v>
      </c>
      <c r="AJ162">
        <v>1</v>
      </c>
      <c r="AK162" t="str">
        <f>VLOOKUP(AJ162, Lookups!$B$23:$C$28, 2, FALSE)</f>
        <v>Daylight</v>
      </c>
      <c r="AL162">
        <v>1</v>
      </c>
      <c r="AM162" t="str">
        <f>VLOOKUP(AL162, Lookups!$B$30:$C$39, 2, FALSE)</f>
        <v>Fine / Clear</v>
      </c>
      <c r="AN162">
        <v>1</v>
      </c>
      <c r="AO162" t="str">
        <f>VLOOKUP(AN162, Lookups!$B$41:$C$49, 2, FALSE)</f>
        <v>Dry</v>
      </c>
      <c r="AP162">
        <v>-1</v>
      </c>
      <c r="AQ162">
        <v>-1</v>
      </c>
      <c r="AR162">
        <v>0</v>
      </c>
      <c r="AS162">
        <v>2</v>
      </c>
      <c r="AT162">
        <v>1</v>
      </c>
      <c r="AU162">
        <v>2</v>
      </c>
      <c r="AV162" t="s">
        <v>80</v>
      </c>
      <c r="AW162">
        <v>7</v>
      </c>
      <c r="AX162">
        <v>1</v>
      </c>
      <c r="AY162">
        <v>1</v>
      </c>
      <c r="AZ162">
        <v>0</v>
      </c>
    </row>
    <row r="163" spans="1:52" x14ac:dyDescent="0.35">
      <c r="A163">
        <v>2025221684117</v>
      </c>
      <c r="B163">
        <v>2025</v>
      </c>
      <c r="C163">
        <v>221684117</v>
      </c>
      <c r="D163">
        <v>386447</v>
      </c>
      <c r="E163">
        <v>248460</v>
      </c>
      <c r="F163">
        <v>-2.1994199999999999</v>
      </c>
      <c r="G163">
        <v>52.134270000000001</v>
      </c>
      <c r="H163">
        <v>22</v>
      </c>
      <c r="I163">
        <v>2</v>
      </c>
      <c r="J163" t="str">
        <f>VLOOKUP(I163, Lookups!$B$1:$C$4, 2, FALSE)</f>
        <v>Serious</v>
      </c>
      <c r="K163">
        <v>3</v>
      </c>
      <c r="L163">
        <v>1</v>
      </c>
      <c r="M163" s="1">
        <v>46004</v>
      </c>
      <c r="N163">
        <v>7</v>
      </c>
      <c r="O163" t="str">
        <f>VLOOKUP(N163, Lookups!$B$6:$C$12, 2, FALSE)</f>
        <v>Saturday</v>
      </c>
      <c r="P163" s="2">
        <v>0.24305555555555555</v>
      </c>
      <c r="Q163">
        <v>-1</v>
      </c>
      <c r="R163" t="s">
        <v>49</v>
      </c>
      <c r="S163" t="s">
        <v>45</v>
      </c>
      <c r="T163" t="s">
        <v>45</v>
      </c>
      <c r="U163">
        <v>1</v>
      </c>
      <c r="V163" t="str">
        <f>VLOOKUP(U163, Lookups!$B$51:$C$57, 2, FALSE)</f>
        <v>M</v>
      </c>
      <c r="W163">
        <v>5</v>
      </c>
      <c r="X163" t="str">
        <f t="shared" si="22"/>
        <v>M5</v>
      </c>
      <c r="Y163">
        <v>3</v>
      </c>
      <c r="Z163" t="str">
        <f>VLOOKUP(Y163, Lookups!$B$14:$C$21, 2, FALSE)</f>
        <v>Dual carriageway</v>
      </c>
      <c r="AA163">
        <v>70</v>
      </c>
      <c r="AB163">
        <v>-1</v>
      </c>
      <c r="AC163">
        <v>0</v>
      </c>
      <c r="AD163">
        <v>-1</v>
      </c>
      <c r="AE163">
        <v>0</v>
      </c>
      <c r="AF163">
        <v>-1</v>
      </c>
      <c r="AG163">
        <v>-1</v>
      </c>
      <c r="AH163">
        <v>-1</v>
      </c>
      <c r="AI163">
        <v>0</v>
      </c>
      <c r="AJ163">
        <v>4</v>
      </c>
      <c r="AK163" t="str">
        <f>VLOOKUP(AJ163, Lookups!$B$23:$C$28, 2, FALSE)</f>
        <v>Darkness (Lit)</v>
      </c>
      <c r="AL163">
        <v>7</v>
      </c>
      <c r="AM163" t="str">
        <f>VLOOKUP(AL163, Lookups!$B$30:$C$39, 2, FALSE)</f>
        <v>Fog / Mist</v>
      </c>
      <c r="AN163">
        <v>2</v>
      </c>
      <c r="AO163" t="str">
        <f>VLOOKUP(AN163, Lookups!$B$41:$C$49, 2, FALSE)</f>
        <v>Wet / damp</v>
      </c>
      <c r="AP163">
        <v>-1</v>
      </c>
      <c r="AQ163">
        <v>-1</v>
      </c>
      <c r="AR163">
        <v>0</v>
      </c>
      <c r="AS163">
        <v>2</v>
      </c>
      <c r="AT163">
        <v>1</v>
      </c>
      <c r="AU163">
        <v>1</v>
      </c>
      <c r="AV163" t="s">
        <v>50</v>
      </c>
      <c r="AW163">
        <v>5</v>
      </c>
      <c r="AX163">
        <v>1</v>
      </c>
      <c r="AY163">
        <v>1</v>
      </c>
      <c r="AZ163">
        <v>0</v>
      </c>
    </row>
    <row r="164" spans="1:52" x14ac:dyDescent="0.35">
      <c r="A164">
        <v>2025221578284</v>
      </c>
      <c r="B164">
        <v>2025</v>
      </c>
      <c r="C164">
        <v>221578284</v>
      </c>
      <c r="D164">
        <v>400570</v>
      </c>
      <c r="E164">
        <v>274438</v>
      </c>
      <c r="F164">
        <v>-1.99305</v>
      </c>
      <c r="G164">
        <v>52.367989999999999</v>
      </c>
      <c r="H164">
        <v>22</v>
      </c>
      <c r="I164">
        <v>3</v>
      </c>
      <c r="J164" t="str">
        <f>VLOOKUP(I164, Lookups!$B$1:$C$4, 2, FALSE)</f>
        <v>Slight</v>
      </c>
      <c r="K164">
        <v>2</v>
      </c>
      <c r="L164">
        <v>3</v>
      </c>
      <c r="M164" s="1">
        <v>45757</v>
      </c>
      <c r="N164">
        <v>5</v>
      </c>
      <c r="O164" t="str">
        <f>VLOOKUP(N164, Lookups!$B$6:$C$12, 2, FALSE)</f>
        <v>Thursday</v>
      </c>
      <c r="P164" s="2">
        <v>0.41875000000000001</v>
      </c>
      <c r="Q164">
        <v>-1</v>
      </c>
      <c r="R164" t="s">
        <v>47</v>
      </c>
      <c r="S164" t="s">
        <v>45</v>
      </c>
      <c r="T164" t="s">
        <v>45</v>
      </c>
      <c r="U164">
        <v>4</v>
      </c>
      <c r="V164" t="str">
        <f>VLOOKUP(U164, Lookups!$B$51:$C$57, 2, FALSE)</f>
        <v>B</v>
      </c>
      <c r="W164">
        <v>4120</v>
      </c>
      <c r="X164" t="str">
        <f t="shared" si="22"/>
        <v>B4120</v>
      </c>
      <c r="Y164">
        <v>6</v>
      </c>
      <c r="Z164" t="str">
        <f>VLOOKUP(Y164, Lookups!$B$14:$C$21, 2, FALSE)</f>
        <v>Single carriageway</v>
      </c>
      <c r="AA164">
        <v>40</v>
      </c>
      <c r="AB164">
        <v>-1</v>
      </c>
      <c r="AC164">
        <v>0</v>
      </c>
      <c r="AD164">
        <v>-1</v>
      </c>
      <c r="AE164">
        <v>6</v>
      </c>
      <c r="AF164">
        <v>0</v>
      </c>
      <c r="AG164">
        <v>-1</v>
      </c>
      <c r="AH164">
        <v>-1</v>
      </c>
      <c r="AI164">
        <v>0</v>
      </c>
      <c r="AJ164">
        <v>1</v>
      </c>
      <c r="AK164" t="str">
        <f>VLOOKUP(AJ164, Lookups!$B$23:$C$28, 2, FALSE)</f>
        <v>Daylight</v>
      </c>
      <c r="AL164">
        <v>1</v>
      </c>
      <c r="AM164" t="str">
        <f>VLOOKUP(AL164, Lookups!$B$30:$C$39, 2, FALSE)</f>
        <v>Fine / Clear</v>
      </c>
      <c r="AN164">
        <v>1</v>
      </c>
      <c r="AO164" t="str">
        <f>VLOOKUP(AN164, Lookups!$B$41:$C$49, 2, FALSE)</f>
        <v>Dry</v>
      </c>
      <c r="AP164">
        <v>-1</v>
      </c>
      <c r="AQ164">
        <v>-1</v>
      </c>
      <c r="AR164">
        <v>0</v>
      </c>
      <c r="AS164">
        <v>2</v>
      </c>
      <c r="AT164">
        <v>1</v>
      </c>
      <c r="AU164">
        <v>2</v>
      </c>
      <c r="AV164" t="s">
        <v>136</v>
      </c>
      <c r="AW164">
        <v>3</v>
      </c>
      <c r="AX164">
        <v>1</v>
      </c>
      <c r="AY164">
        <v>0</v>
      </c>
      <c r="AZ164">
        <v>1</v>
      </c>
    </row>
    <row r="165" spans="1:52" x14ac:dyDescent="0.35">
      <c r="A165">
        <v>2025221645717</v>
      </c>
      <c r="B165">
        <v>2025</v>
      </c>
      <c r="C165">
        <v>221645717</v>
      </c>
      <c r="D165">
        <v>395220</v>
      </c>
      <c r="E165">
        <v>277459</v>
      </c>
      <c r="F165">
        <v>-2.0716700000000001</v>
      </c>
      <c r="G165">
        <v>52.395130000000002</v>
      </c>
      <c r="H165">
        <v>22</v>
      </c>
      <c r="I165">
        <v>2</v>
      </c>
      <c r="J165" t="str">
        <f>VLOOKUP(I165, Lookups!$B$1:$C$4, 2, FALSE)</f>
        <v>Serious</v>
      </c>
      <c r="K165">
        <v>2</v>
      </c>
      <c r="L165">
        <v>1</v>
      </c>
      <c r="M165" s="1">
        <v>45917</v>
      </c>
      <c r="N165">
        <v>4</v>
      </c>
      <c r="O165" t="str">
        <f>VLOOKUP(N165, Lookups!$B$6:$C$12, 2, FALSE)</f>
        <v>Wednesday</v>
      </c>
      <c r="P165" s="2">
        <v>0.72222222222222221</v>
      </c>
      <c r="Q165">
        <v>-1</v>
      </c>
      <c r="R165" t="s">
        <v>47</v>
      </c>
      <c r="S165" t="s">
        <v>45</v>
      </c>
      <c r="T165" t="s">
        <v>45</v>
      </c>
      <c r="U165">
        <v>6</v>
      </c>
      <c r="V165" t="str">
        <f>VLOOKUP(U165, Lookups!$B$51:$C$57, 2, FALSE)</f>
        <v>Unclassified</v>
      </c>
      <c r="W165">
        <v>0</v>
      </c>
      <c r="X165" t="s">
        <v>362</v>
      </c>
      <c r="Y165">
        <v>6</v>
      </c>
      <c r="Z165" t="str">
        <f>VLOOKUP(Y165, Lookups!$B$14:$C$21, 2, FALSE)</f>
        <v>Single carriageway</v>
      </c>
      <c r="AA165">
        <v>60</v>
      </c>
      <c r="AB165">
        <v>-1</v>
      </c>
      <c r="AC165">
        <v>16</v>
      </c>
      <c r="AD165">
        <v>3</v>
      </c>
      <c r="AE165">
        <v>6</v>
      </c>
      <c r="AF165">
        <v>0</v>
      </c>
      <c r="AG165">
        <v>-1</v>
      </c>
      <c r="AH165">
        <v>-1</v>
      </c>
      <c r="AI165">
        <v>0</v>
      </c>
      <c r="AJ165">
        <v>1</v>
      </c>
      <c r="AK165" t="str">
        <f>VLOOKUP(AJ165, Lookups!$B$23:$C$28, 2, FALSE)</f>
        <v>Daylight</v>
      </c>
      <c r="AL165">
        <v>1</v>
      </c>
      <c r="AM165" t="str">
        <f>VLOOKUP(AL165, Lookups!$B$30:$C$39, 2, FALSE)</f>
        <v>Fine / Clear</v>
      </c>
      <c r="AN165">
        <v>1</v>
      </c>
      <c r="AO165" t="str">
        <f>VLOOKUP(AN165, Lookups!$B$41:$C$49, 2, FALSE)</f>
        <v>Dry</v>
      </c>
      <c r="AP165">
        <v>-1</v>
      </c>
      <c r="AQ165">
        <v>-1</v>
      </c>
      <c r="AR165">
        <v>0</v>
      </c>
      <c r="AS165">
        <v>2</v>
      </c>
      <c r="AT165">
        <v>1</v>
      </c>
      <c r="AU165">
        <v>2</v>
      </c>
      <c r="AV165" t="s">
        <v>120</v>
      </c>
      <c r="AW165">
        <v>7</v>
      </c>
      <c r="AX165">
        <v>1</v>
      </c>
      <c r="AY165">
        <v>1</v>
      </c>
      <c r="AZ165">
        <v>0</v>
      </c>
    </row>
    <row r="166" spans="1:52" x14ac:dyDescent="0.35">
      <c r="A166">
        <v>2025221570308</v>
      </c>
      <c r="B166">
        <v>2025</v>
      </c>
      <c r="C166">
        <v>221570308</v>
      </c>
      <c r="D166">
        <v>387457</v>
      </c>
      <c r="E166">
        <v>257041</v>
      </c>
      <c r="F166">
        <v>-2.18499</v>
      </c>
      <c r="G166">
        <v>52.211440000000003</v>
      </c>
      <c r="H166">
        <v>22</v>
      </c>
      <c r="I166">
        <v>2</v>
      </c>
      <c r="J166" t="str">
        <f>VLOOKUP(I166, Lookups!$B$1:$C$4, 2, FALSE)</f>
        <v>Serious</v>
      </c>
      <c r="K166">
        <v>1</v>
      </c>
      <c r="L166">
        <v>1</v>
      </c>
      <c r="M166" s="1">
        <v>45743</v>
      </c>
      <c r="N166">
        <v>5</v>
      </c>
      <c r="O166" t="str">
        <f>VLOOKUP(N166, Lookups!$B$6:$C$12, 2, FALSE)</f>
        <v>Thursday</v>
      </c>
      <c r="P166" s="2">
        <v>0.63888888888888884</v>
      </c>
      <c r="Q166">
        <v>-1</v>
      </c>
      <c r="R166" t="s">
        <v>60</v>
      </c>
      <c r="S166" t="s">
        <v>45</v>
      </c>
      <c r="T166" t="s">
        <v>45</v>
      </c>
      <c r="U166">
        <v>6</v>
      </c>
      <c r="V166" t="str">
        <f>VLOOKUP(U166, Lookups!$B$51:$C$57, 2, FALSE)</f>
        <v>Unclassified</v>
      </c>
      <c r="W166">
        <v>0</v>
      </c>
      <c r="X166" t="s">
        <v>362</v>
      </c>
      <c r="Y166">
        <v>6</v>
      </c>
      <c r="Z166" t="str">
        <f>VLOOKUP(Y166, Lookups!$B$14:$C$21, 2, FALSE)</f>
        <v>Single carriageway</v>
      </c>
      <c r="AA166">
        <v>30</v>
      </c>
      <c r="AB166">
        <v>-1</v>
      </c>
      <c r="AC166">
        <v>0</v>
      </c>
      <c r="AD166">
        <v>-1</v>
      </c>
      <c r="AE166">
        <v>6</v>
      </c>
      <c r="AF166">
        <v>0</v>
      </c>
      <c r="AG166">
        <v>-1</v>
      </c>
      <c r="AH166">
        <v>-1</v>
      </c>
      <c r="AI166">
        <v>0</v>
      </c>
      <c r="AJ166">
        <v>1</v>
      </c>
      <c r="AK166" t="str">
        <f>VLOOKUP(AJ166, Lookups!$B$23:$C$28, 2, FALSE)</f>
        <v>Daylight</v>
      </c>
      <c r="AL166">
        <v>1</v>
      </c>
      <c r="AM166" t="str">
        <f>VLOOKUP(AL166, Lookups!$B$30:$C$39, 2, FALSE)</f>
        <v>Fine / Clear</v>
      </c>
      <c r="AN166">
        <v>1</v>
      </c>
      <c r="AO166" t="str">
        <f>VLOOKUP(AN166, Lookups!$B$41:$C$49, 2, FALSE)</f>
        <v>Dry</v>
      </c>
      <c r="AP166">
        <v>-1</v>
      </c>
      <c r="AQ166">
        <v>-1</v>
      </c>
      <c r="AR166">
        <v>0</v>
      </c>
      <c r="AS166">
        <v>1</v>
      </c>
      <c r="AT166">
        <v>1</v>
      </c>
      <c r="AU166">
        <v>2</v>
      </c>
      <c r="AV166" t="s">
        <v>168</v>
      </c>
      <c r="AW166">
        <v>7</v>
      </c>
      <c r="AX166">
        <v>1</v>
      </c>
      <c r="AY166">
        <v>1</v>
      </c>
      <c r="AZ166">
        <v>0</v>
      </c>
    </row>
    <row r="167" spans="1:52" x14ac:dyDescent="0.35">
      <c r="A167">
        <v>2025221547843</v>
      </c>
      <c r="B167">
        <v>2025</v>
      </c>
      <c r="C167">
        <v>221547843</v>
      </c>
      <c r="D167">
        <v>396348</v>
      </c>
      <c r="E167">
        <v>270754</v>
      </c>
      <c r="F167">
        <v>-2.0550199999999998</v>
      </c>
      <c r="G167">
        <v>52.334859999999999</v>
      </c>
      <c r="H167">
        <v>22</v>
      </c>
      <c r="I167">
        <v>3</v>
      </c>
      <c r="J167" t="str">
        <f>VLOOKUP(I167, Lookups!$B$1:$C$4, 2, FALSE)</f>
        <v>Slight</v>
      </c>
      <c r="K167">
        <v>1</v>
      </c>
      <c r="L167">
        <v>1</v>
      </c>
      <c r="M167" s="1">
        <v>45682</v>
      </c>
      <c r="N167">
        <v>7</v>
      </c>
      <c r="O167" t="str">
        <f>VLOOKUP(N167, Lookups!$B$6:$C$12, 2, FALSE)</f>
        <v>Saturday</v>
      </c>
      <c r="P167" s="2">
        <v>0.41666666666666669</v>
      </c>
      <c r="Q167">
        <v>-1</v>
      </c>
      <c r="R167" t="s">
        <v>47</v>
      </c>
      <c r="S167" t="s">
        <v>45</v>
      </c>
      <c r="T167" t="s">
        <v>45</v>
      </c>
      <c r="U167">
        <v>6</v>
      </c>
      <c r="V167" t="str">
        <f>VLOOKUP(U167, Lookups!$B$51:$C$57, 2, FALSE)</f>
        <v>Unclassified</v>
      </c>
      <c r="W167">
        <v>0</v>
      </c>
      <c r="X167" t="s">
        <v>362</v>
      </c>
      <c r="Y167">
        <v>6</v>
      </c>
      <c r="Z167" t="str">
        <f>VLOOKUP(Y167, Lookups!$B$14:$C$21, 2, FALSE)</f>
        <v>Single carriageway</v>
      </c>
      <c r="AA167">
        <v>30</v>
      </c>
      <c r="AB167">
        <v>-1</v>
      </c>
      <c r="AC167">
        <v>13</v>
      </c>
      <c r="AD167">
        <v>4</v>
      </c>
      <c r="AE167">
        <v>6</v>
      </c>
      <c r="AF167">
        <v>0</v>
      </c>
      <c r="AG167">
        <v>-1</v>
      </c>
      <c r="AH167">
        <v>-1</v>
      </c>
      <c r="AI167">
        <v>0</v>
      </c>
      <c r="AJ167">
        <v>1</v>
      </c>
      <c r="AK167" t="str">
        <f>VLOOKUP(AJ167, Lookups!$B$23:$C$28, 2, FALSE)</f>
        <v>Daylight</v>
      </c>
      <c r="AL167">
        <v>1</v>
      </c>
      <c r="AM167" t="str">
        <f>VLOOKUP(AL167, Lookups!$B$30:$C$39, 2, FALSE)</f>
        <v>Fine / Clear</v>
      </c>
      <c r="AN167">
        <v>1</v>
      </c>
      <c r="AO167" t="str">
        <f>VLOOKUP(AN167, Lookups!$B$41:$C$49, 2, FALSE)</f>
        <v>Dry</v>
      </c>
      <c r="AP167">
        <v>-1</v>
      </c>
      <c r="AQ167">
        <v>-1</v>
      </c>
      <c r="AR167">
        <v>0</v>
      </c>
      <c r="AS167">
        <v>1</v>
      </c>
      <c r="AT167">
        <v>2</v>
      </c>
      <c r="AU167">
        <v>2</v>
      </c>
      <c r="AV167" t="s">
        <v>133</v>
      </c>
      <c r="AW167">
        <v>3</v>
      </c>
      <c r="AX167">
        <v>1</v>
      </c>
      <c r="AY167">
        <v>0</v>
      </c>
      <c r="AZ167">
        <v>1</v>
      </c>
    </row>
    <row r="168" spans="1:52" x14ac:dyDescent="0.35">
      <c r="A168">
        <v>2025221615350</v>
      </c>
      <c r="B168">
        <v>2025</v>
      </c>
      <c r="C168">
        <v>221615350</v>
      </c>
      <c r="D168">
        <v>396901</v>
      </c>
      <c r="E168">
        <v>272877</v>
      </c>
      <c r="F168">
        <v>-2.0469200000000001</v>
      </c>
      <c r="G168">
        <v>52.353949999999998</v>
      </c>
      <c r="H168">
        <v>22</v>
      </c>
      <c r="I168">
        <v>3</v>
      </c>
      <c r="J168" t="str">
        <f>VLOOKUP(I168, Lookups!$B$1:$C$4, 2, FALSE)</f>
        <v>Slight</v>
      </c>
      <c r="K168">
        <v>2</v>
      </c>
      <c r="L168">
        <v>1</v>
      </c>
      <c r="M168" s="1">
        <v>45850</v>
      </c>
      <c r="N168">
        <v>7</v>
      </c>
      <c r="O168" t="str">
        <f>VLOOKUP(N168, Lookups!$B$6:$C$12, 2, FALSE)</f>
        <v>Saturday</v>
      </c>
      <c r="P168" s="2">
        <v>0.76041666666666663</v>
      </c>
      <c r="Q168">
        <v>-1</v>
      </c>
      <c r="R168" t="s">
        <v>47</v>
      </c>
      <c r="S168" t="s">
        <v>45</v>
      </c>
      <c r="T168" t="s">
        <v>45</v>
      </c>
      <c r="U168">
        <v>3</v>
      </c>
      <c r="V168" t="str">
        <f>VLOOKUP(U168, Lookups!$B$51:$C$57, 2, FALSE)</f>
        <v>A</v>
      </c>
      <c r="W168">
        <v>38</v>
      </c>
      <c r="X168" t="str">
        <f>V168&amp;W168</f>
        <v>A38</v>
      </c>
      <c r="Y168">
        <v>6</v>
      </c>
      <c r="Z168" t="str">
        <f>VLOOKUP(Y168, Lookups!$B$14:$C$21, 2, FALSE)</f>
        <v>Single carriageway</v>
      </c>
      <c r="AA168">
        <v>40</v>
      </c>
      <c r="AB168">
        <v>-1</v>
      </c>
      <c r="AC168">
        <v>13</v>
      </c>
      <c r="AD168">
        <v>4</v>
      </c>
      <c r="AE168">
        <v>6</v>
      </c>
      <c r="AF168">
        <v>0</v>
      </c>
      <c r="AG168">
        <v>-1</v>
      </c>
      <c r="AH168">
        <v>-1</v>
      </c>
      <c r="AI168">
        <v>14</v>
      </c>
      <c r="AJ168">
        <v>1</v>
      </c>
      <c r="AK168" t="str">
        <f>VLOOKUP(AJ168, Lookups!$B$23:$C$28, 2, FALSE)</f>
        <v>Daylight</v>
      </c>
      <c r="AL168">
        <v>1</v>
      </c>
      <c r="AM168" t="str">
        <f>VLOOKUP(AL168, Lookups!$B$30:$C$39, 2, FALSE)</f>
        <v>Fine / Clear</v>
      </c>
      <c r="AN168">
        <v>1</v>
      </c>
      <c r="AO168" t="str">
        <f>VLOOKUP(AN168, Lookups!$B$41:$C$49, 2, FALSE)</f>
        <v>Dry</v>
      </c>
      <c r="AP168">
        <v>-1</v>
      </c>
      <c r="AQ168">
        <v>-1</v>
      </c>
      <c r="AR168">
        <v>0</v>
      </c>
      <c r="AS168">
        <v>1</v>
      </c>
      <c r="AT168">
        <v>1</v>
      </c>
      <c r="AU168">
        <v>2</v>
      </c>
      <c r="AV168" t="s">
        <v>169</v>
      </c>
      <c r="AW168">
        <v>3</v>
      </c>
      <c r="AX168">
        <v>1</v>
      </c>
      <c r="AY168">
        <v>0</v>
      </c>
      <c r="AZ168">
        <v>1</v>
      </c>
    </row>
    <row r="169" spans="1:52" x14ac:dyDescent="0.35">
      <c r="A169">
        <v>2025221651179</v>
      </c>
      <c r="B169">
        <v>2025</v>
      </c>
      <c r="C169">
        <v>221651179</v>
      </c>
      <c r="D169">
        <v>383266</v>
      </c>
      <c r="E169">
        <v>276875</v>
      </c>
      <c r="F169">
        <v>-2.2473100000000001</v>
      </c>
      <c r="G169">
        <v>52.38964</v>
      </c>
      <c r="H169">
        <v>22</v>
      </c>
      <c r="I169">
        <v>3</v>
      </c>
      <c r="J169" t="str">
        <f>VLOOKUP(I169, Lookups!$B$1:$C$4, 2, FALSE)</f>
        <v>Slight</v>
      </c>
      <c r="K169">
        <v>1</v>
      </c>
      <c r="L169">
        <v>1</v>
      </c>
      <c r="M169" s="1">
        <v>45932</v>
      </c>
      <c r="N169">
        <v>5</v>
      </c>
      <c r="O169" t="str">
        <f>VLOOKUP(N169, Lookups!$B$6:$C$12, 2, FALSE)</f>
        <v>Thursday</v>
      </c>
      <c r="P169" s="2">
        <v>0.75902777777777775</v>
      </c>
      <c r="Q169">
        <v>-1</v>
      </c>
      <c r="R169" t="s">
        <v>44</v>
      </c>
      <c r="S169" t="s">
        <v>45</v>
      </c>
      <c r="T169" t="s">
        <v>45</v>
      </c>
      <c r="U169">
        <v>6</v>
      </c>
      <c r="V169" t="str">
        <f>VLOOKUP(U169, Lookups!$B$51:$C$57, 2, FALSE)</f>
        <v>Unclassified</v>
      </c>
      <c r="W169">
        <v>0</v>
      </c>
      <c r="X169" t="s">
        <v>362</v>
      </c>
      <c r="Y169">
        <v>6</v>
      </c>
      <c r="Z169" t="str">
        <f>VLOOKUP(Y169, Lookups!$B$14:$C$21, 2, FALSE)</f>
        <v>Single carriageway</v>
      </c>
      <c r="AA169">
        <v>30</v>
      </c>
      <c r="AB169">
        <v>-1</v>
      </c>
      <c r="AC169">
        <v>19</v>
      </c>
      <c r="AD169">
        <v>4</v>
      </c>
      <c r="AE169">
        <v>6</v>
      </c>
      <c r="AF169">
        <v>0</v>
      </c>
      <c r="AG169">
        <v>-1</v>
      </c>
      <c r="AH169">
        <v>-1</v>
      </c>
      <c r="AI169">
        <v>0</v>
      </c>
      <c r="AJ169">
        <v>1</v>
      </c>
      <c r="AK169" t="str">
        <f>VLOOKUP(AJ169, Lookups!$B$23:$C$28, 2, FALSE)</f>
        <v>Daylight</v>
      </c>
      <c r="AL169">
        <v>1</v>
      </c>
      <c r="AM169" t="str">
        <f>VLOOKUP(AL169, Lookups!$B$30:$C$39, 2, FALSE)</f>
        <v>Fine / Clear</v>
      </c>
      <c r="AN169">
        <v>1</v>
      </c>
      <c r="AO169" t="str">
        <f>VLOOKUP(AN169, Lookups!$B$41:$C$49, 2, FALSE)</f>
        <v>Dry</v>
      </c>
      <c r="AP169">
        <v>-1</v>
      </c>
      <c r="AQ169">
        <v>-1</v>
      </c>
      <c r="AR169">
        <v>0</v>
      </c>
      <c r="AS169">
        <v>1</v>
      </c>
      <c r="AT169">
        <v>2</v>
      </c>
      <c r="AU169">
        <v>2</v>
      </c>
      <c r="AV169" t="s">
        <v>170</v>
      </c>
      <c r="AW169">
        <v>3</v>
      </c>
      <c r="AX169">
        <v>1</v>
      </c>
      <c r="AY169">
        <v>0</v>
      </c>
      <c r="AZ169">
        <v>1</v>
      </c>
    </row>
    <row r="170" spans="1:52" x14ac:dyDescent="0.35">
      <c r="A170">
        <v>2025221670588</v>
      </c>
      <c r="B170">
        <v>2025</v>
      </c>
      <c r="C170">
        <v>221670588</v>
      </c>
      <c r="D170">
        <v>377497</v>
      </c>
      <c r="E170">
        <v>245984</v>
      </c>
      <c r="F170">
        <v>-2.3300100000000001</v>
      </c>
      <c r="G170">
        <v>52.111719999999998</v>
      </c>
      <c r="H170">
        <v>22</v>
      </c>
      <c r="I170">
        <v>3</v>
      </c>
      <c r="J170" t="str">
        <f>VLOOKUP(I170, Lookups!$B$1:$C$4, 2, FALSE)</f>
        <v>Slight</v>
      </c>
      <c r="K170">
        <v>2</v>
      </c>
      <c r="L170">
        <v>1</v>
      </c>
      <c r="M170" s="1">
        <v>45979</v>
      </c>
      <c r="N170">
        <v>3</v>
      </c>
      <c r="O170" t="str">
        <f>VLOOKUP(N170, Lookups!$B$6:$C$12, 2, FALSE)</f>
        <v>Tuesday</v>
      </c>
      <c r="P170" s="2">
        <v>0.76666666666666672</v>
      </c>
      <c r="Q170">
        <v>-1</v>
      </c>
      <c r="R170" t="s">
        <v>49</v>
      </c>
      <c r="S170" t="s">
        <v>45</v>
      </c>
      <c r="T170" t="s">
        <v>45</v>
      </c>
      <c r="U170">
        <v>3</v>
      </c>
      <c r="V170" t="str">
        <f>VLOOKUP(U170, Lookups!$B$51:$C$57, 2, FALSE)</f>
        <v>A</v>
      </c>
      <c r="W170">
        <v>449</v>
      </c>
      <c r="X170" t="str">
        <f t="shared" ref="X170:X171" si="23">V170&amp;W170</f>
        <v>A449</v>
      </c>
      <c r="Y170">
        <v>6</v>
      </c>
      <c r="Z170" t="str">
        <f>VLOOKUP(Y170, Lookups!$B$14:$C$21, 2, FALSE)</f>
        <v>Single carriageway</v>
      </c>
      <c r="AA170">
        <v>30</v>
      </c>
      <c r="AB170">
        <v>-1</v>
      </c>
      <c r="AC170">
        <v>13</v>
      </c>
      <c r="AD170">
        <v>4</v>
      </c>
      <c r="AE170">
        <v>4</v>
      </c>
      <c r="AF170">
        <v>4211</v>
      </c>
      <c r="AG170">
        <v>-1</v>
      </c>
      <c r="AH170">
        <v>-1</v>
      </c>
      <c r="AI170">
        <v>13</v>
      </c>
      <c r="AJ170">
        <v>4</v>
      </c>
      <c r="AK170" t="str">
        <f>VLOOKUP(AJ170, Lookups!$B$23:$C$28, 2, FALSE)</f>
        <v>Darkness (Lit)</v>
      </c>
      <c r="AL170">
        <v>1</v>
      </c>
      <c r="AM170" t="str">
        <f>VLOOKUP(AL170, Lookups!$B$30:$C$39, 2, FALSE)</f>
        <v>Fine / Clear</v>
      </c>
      <c r="AN170">
        <v>2</v>
      </c>
      <c r="AO170" t="str">
        <f>VLOOKUP(AN170, Lookups!$B$41:$C$49, 2, FALSE)</f>
        <v>Wet / damp</v>
      </c>
      <c r="AP170">
        <v>-1</v>
      </c>
      <c r="AQ170">
        <v>-1</v>
      </c>
      <c r="AR170">
        <v>0</v>
      </c>
      <c r="AS170">
        <v>1</v>
      </c>
      <c r="AT170">
        <v>3</v>
      </c>
      <c r="AU170">
        <v>2</v>
      </c>
      <c r="AV170" t="s">
        <v>102</v>
      </c>
      <c r="AW170">
        <v>3</v>
      </c>
      <c r="AX170">
        <v>1</v>
      </c>
      <c r="AY170">
        <v>0</v>
      </c>
      <c r="AZ170">
        <v>1</v>
      </c>
    </row>
    <row r="171" spans="1:52" x14ac:dyDescent="0.35">
      <c r="A171">
        <v>2025221578864</v>
      </c>
      <c r="B171">
        <v>2025</v>
      </c>
      <c r="C171">
        <v>221578864</v>
      </c>
      <c r="D171">
        <v>388308</v>
      </c>
      <c r="E171">
        <v>254580</v>
      </c>
      <c r="F171">
        <v>-2.17245</v>
      </c>
      <c r="G171">
        <v>52.189340000000001</v>
      </c>
      <c r="H171">
        <v>22</v>
      </c>
      <c r="I171">
        <v>2</v>
      </c>
      <c r="J171" t="str">
        <f>VLOOKUP(I171, Lookups!$B$1:$C$4, 2, FALSE)</f>
        <v>Serious</v>
      </c>
      <c r="K171">
        <v>2</v>
      </c>
      <c r="L171">
        <v>1</v>
      </c>
      <c r="M171" s="1">
        <v>45763</v>
      </c>
      <c r="N171">
        <v>4</v>
      </c>
      <c r="O171" t="str">
        <f>VLOOKUP(N171, Lookups!$B$6:$C$12, 2, FALSE)</f>
        <v>Wednesday</v>
      </c>
      <c r="P171" s="2">
        <v>0.6958333333333333</v>
      </c>
      <c r="Q171">
        <v>-1</v>
      </c>
      <c r="R171" t="s">
        <v>60</v>
      </c>
      <c r="S171" t="s">
        <v>45</v>
      </c>
      <c r="T171" t="s">
        <v>45</v>
      </c>
      <c r="U171">
        <v>3</v>
      </c>
      <c r="V171" t="str">
        <f>VLOOKUP(U171, Lookups!$B$51:$C$57, 2, FALSE)</f>
        <v>A</v>
      </c>
      <c r="W171">
        <v>4440</v>
      </c>
      <c r="X171" t="str">
        <f t="shared" si="23"/>
        <v>A4440</v>
      </c>
      <c r="Y171">
        <v>3</v>
      </c>
      <c r="Z171" t="str">
        <f>VLOOKUP(Y171, Lookups!$B$14:$C$21, 2, FALSE)</f>
        <v>Dual carriageway</v>
      </c>
      <c r="AA171">
        <v>40</v>
      </c>
      <c r="AB171">
        <v>-1</v>
      </c>
      <c r="AC171">
        <v>0</v>
      </c>
      <c r="AD171">
        <v>-1</v>
      </c>
      <c r="AE171">
        <v>6</v>
      </c>
      <c r="AF171">
        <v>0</v>
      </c>
      <c r="AG171">
        <v>-1</v>
      </c>
      <c r="AH171">
        <v>-1</v>
      </c>
      <c r="AI171">
        <v>0</v>
      </c>
      <c r="AJ171">
        <v>1</v>
      </c>
      <c r="AK171" t="str">
        <f>VLOOKUP(AJ171, Lookups!$B$23:$C$28, 2, FALSE)</f>
        <v>Daylight</v>
      </c>
      <c r="AL171">
        <v>1</v>
      </c>
      <c r="AM171" t="str">
        <f>VLOOKUP(AL171, Lookups!$B$30:$C$39, 2, FALSE)</f>
        <v>Fine / Clear</v>
      </c>
      <c r="AN171">
        <v>1</v>
      </c>
      <c r="AO171" t="str">
        <f>VLOOKUP(AN171, Lookups!$B$41:$C$49, 2, FALSE)</f>
        <v>Dry</v>
      </c>
      <c r="AP171">
        <v>-1</v>
      </c>
      <c r="AQ171">
        <v>-1</v>
      </c>
      <c r="AR171">
        <v>0</v>
      </c>
      <c r="AS171">
        <v>2</v>
      </c>
      <c r="AT171">
        <v>3</v>
      </c>
      <c r="AU171">
        <v>2</v>
      </c>
      <c r="AV171" t="s">
        <v>75</v>
      </c>
      <c r="AW171">
        <v>5</v>
      </c>
      <c r="AX171">
        <v>1</v>
      </c>
      <c r="AY171">
        <v>1</v>
      </c>
      <c r="AZ171">
        <v>0</v>
      </c>
    </row>
    <row r="172" spans="1:52" x14ac:dyDescent="0.35">
      <c r="A172">
        <v>2025221587989</v>
      </c>
      <c r="B172">
        <v>2025</v>
      </c>
      <c r="C172">
        <v>221587989</v>
      </c>
      <c r="D172">
        <v>384458</v>
      </c>
      <c r="E172">
        <v>260811</v>
      </c>
      <c r="F172">
        <v>-2.22905</v>
      </c>
      <c r="G172">
        <v>52.245260000000002</v>
      </c>
      <c r="H172">
        <v>22</v>
      </c>
      <c r="I172">
        <v>3</v>
      </c>
      <c r="J172" t="str">
        <f>VLOOKUP(I172, Lookups!$B$1:$C$4, 2, FALSE)</f>
        <v>Slight</v>
      </c>
      <c r="K172">
        <v>2</v>
      </c>
      <c r="L172">
        <v>1</v>
      </c>
      <c r="M172" s="1">
        <v>45773</v>
      </c>
      <c r="N172">
        <v>7</v>
      </c>
      <c r="O172" t="str">
        <f>VLOOKUP(N172, Lookups!$B$6:$C$12, 2, FALSE)</f>
        <v>Saturday</v>
      </c>
      <c r="P172" s="2">
        <v>0.625</v>
      </c>
      <c r="Q172">
        <v>-1</v>
      </c>
      <c r="R172" t="s">
        <v>54</v>
      </c>
      <c r="S172" t="s">
        <v>45</v>
      </c>
      <c r="T172" t="s">
        <v>45</v>
      </c>
      <c r="U172">
        <v>6</v>
      </c>
      <c r="V172" t="str">
        <f>VLOOKUP(U172, Lookups!$B$51:$C$57, 2, FALSE)</f>
        <v>Unclassified</v>
      </c>
      <c r="W172">
        <v>0</v>
      </c>
      <c r="X172" t="s">
        <v>362</v>
      </c>
      <c r="Y172">
        <v>3</v>
      </c>
      <c r="Z172" t="str">
        <f>VLOOKUP(Y172, Lookups!$B$14:$C$21, 2, FALSE)</f>
        <v>Dual carriageway</v>
      </c>
      <c r="AA172">
        <v>70</v>
      </c>
      <c r="AB172">
        <v>-1</v>
      </c>
      <c r="AC172">
        <v>13</v>
      </c>
      <c r="AD172">
        <v>4</v>
      </c>
      <c r="AE172">
        <v>6</v>
      </c>
      <c r="AF172">
        <v>0</v>
      </c>
      <c r="AG172">
        <v>-1</v>
      </c>
      <c r="AH172">
        <v>-1</v>
      </c>
      <c r="AI172">
        <v>0</v>
      </c>
      <c r="AJ172">
        <v>1</v>
      </c>
      <c r="AK172" t="str">
        <f>VLOOKUP(AJ172, Lookups!$B$23:$C$28, 2, FALSE)</f>
        <v>Daylight</v>
      </c>
      <c r="AL172">
        <v>1</v>
      </c>
      <c r="AM172" t="str">
        <f>VLOOKUP(AL172, Lookups!$B$30:$C$39, 2, FALSE)</f>
        <v>Fine / Clear</v>
      </c>
      <c r="AN172">
        <v>1</v>
      </c>
      <c r="AO172" t="str">
        <f>VLOOKUP(AN172, Lookups!$B$41:$C$49, 2, FALSE)</f>
        <v>Dry</v>
      </c>
      <c r="AP172">
        <v>-1</v>
      </c>
      <c r="AQ172">
        <v>-1</v>
      </c>
      <c r="AR172">
        <v>0</v>
      </c>
      <c r="AS172">
        <v>2</v>
      </c>
      <c r="AT172">
        <v>1</v>
      </c>
      <c r="AU172">
        <v>2</v>
      </c>
      <c r="AV172" t="s">
        <v>124</v>
      </c>
      <c r="AW172">
        <v>3</v>
      </c>
      <c r="AX172">
        <v>1</v>
      </c>
      <c r="AY172">
        <v>0</v>
      </c>
      <c r="AZ172">
        <v>1</v>
      </c>
    </row>
    <row r="173" spans="1:52" x14ac:dyDescent="0.35">
      <c r="A173">
        <v>2025221582628</v>
      </c>
      <c r="B173">
        <v>2025</v>
      </c>
      <c r="C173">
        <v>221582628</v>
      </c>
      <c r="D173">
        <v>409677</v>
      </c>
      <c r="E173">
        <v>246804</v>
      </c>
      <c r="F173">
        <v>-1.86008</v>
      </c>
      <c r="G173">
        <v>52.11947</v>
      </c>
      <c r="H173">
        <v>22</v>
      </c>
      <c r="I173">
        <v>2</v>
      </c>
      <c r="J173" t="str">
        <f>VLOOKUP(I173, Lookups!$B$1:$C$4, 2, FALSE)</f>
        <v>Serious</v>
      </c>
      <c r="K173">
        <v>1</v>
      </c>
      <c r="L173">
        <v>1</v>
      </c>
      <c r="M173" s="1">
        <v>45774</v>
      </c>
      <c r="N173">
        <v>1</v>
      </c>
      <c r="O173" t="str">
        <f>VLOOKUP(N173, Lookups!$B$6:$C$12, 2, FALSE)</f>
        <v>Sunday</v>
      </c>
      <c r="P173" s="2">
        <v>0.45833333333333331</v>
      </c>
      <c r="Q173">
        <v>-1</v>
      </c>
      <c r="R173" t="s">
        <v>54</v>
      </c>
      <c r="S173" t="s">
        <v>45</v>
      </c>
      <c r="T173" t="s">
        <v>45</v>
      </c>
      <c r="U173">
        <v>6</v>
      </c>
      <c r="V173" t="str">
        <f>VLOOKUP(U173, Lookups!$B$51:$C$57, 2, FALSE)</f>
        <v>Unclassified</v>
      </c>
      <c r="W173">
        <v>0</v>
      </c>
      <c r="X173" t="s">
        <v>362</v>
      </c>
      <c r="Y173">
        <v>6</v>
      </c>
      <c r="Z173" t="str">
        <f>VLOOKUP(Y173, Lookups!$B$14:$C$21, 2, FALSE)</f>
        <v>Single carriageway</v>
      </c>
      <c r="AA173">
        <v>60</v>
      </c>
      <c r="AB173">
        <v>-1</v>
      </c>
      <c r="AC173">
        <v>0</v>
      </c>
      <c r="AD173">
        <v>-1</v>
      </c>
      <c r="AE173">
        <v>6</v>
      </c>
      <c r="AF173">
        <v>0</v>
      </c>
      <c r="AG173">
        <v>-1</v>
      </c>
      <c r="AH173">
        <v>-1</v>
      </c>
      <c r="AI173">
        <v>0</v>
      </c>
      <c r="AJ173">
        <v>1</v>
      </c>
      <c r="AK173" t="str">
        <f>VLOOKUP(AJ173, Lookups!$B$23:$C$28, 2, FALSE)</f>
        <v>Daylight</v>
      </c>
      <c r="AL173">
        <v>1</v>
      </c>
      <c r="AM173" t="str">
        <f>VLOOKUP(AL173, Lookups!$B$30:$C$39, 2, FALSE)</f>
        <v>Fine / Clear</v>
      </c>
      <c r="AN173">
        <v>1</v>
      </c>
      <c r="AO173" t="str">
        <f>VLOOKUP(AN173, Lookups!$B$41:$C$49, 2, FALSE)</f>
        <v>Dry</v>
      </c>
      <c r="AP173">
        <v>-1</v>
      </c>
      <c r="AQ173">
        <v>-1</v>
      </c>
      <c r="AR173">
        <v>0</v>
      </c>
      <c r="AS173">
        <v>2</v>
      </c>
      <c r="AT173">
        <v>1</v>
      </c>
      <c r="AU173">
        <v>2</v>
      </c>
      <c r="AV173" t="s">
        <v>171</v>
      </c>
      <c r="AW173">
        <v>7</v>
      </c>
      <c r="AX173">
        <v>1</v>
      </c>
      <c r="AY173">
        <v>1</v>
      </c>
      <c r="AZ173">
        <v>0</v>
      </c>
    </row>
    <row r="174" spans="1:52" x14ac:dyDescent="0.35">
      <c r="A174">
        <v>2025221545583</v>
      </c>
      <c r="B174">
        <v>2025</v>
      </c>
      <c r="C174">
        <v>221545583</v>
      </c>
      <c r="D174">
        <v>411593</v>
      </c>
      <c r="E174">
        <v>237034</v>
      </c>
      <c r="F174">
        <v>-1.83243</v>
      </c>
      <c r="G174">
        <v>52.031599999999997</v>
      </c>
      <c r="H174">
        <v>22</v>
      </c>
      <c r="I174">
        <v>2</v>
      </c>
      <c r="J174" t="str">
        <f>VLOOKUP(I174, Lookups!$B$1:$C$4, 2, FALSE)</f>
        <v>Serious</v>
      </c>
      <c r="K174">
        <v>1</v>
      </c>
      <c r="L174">
        <v>1</v>
      </c>
      <c r="M174" s="1">
        <v>45680</v>
      </c>
      <c r="N174">
        <v>5</v>
      </c>
      <c r="O174" t="str">
        <f>VLOOKUP(N174, Lookups!$B$6:$C$12, 2, FALSE)</f>
        <v>Thursday</v>
      </c>
      <c r="P174" s="2">
        <v>0.47222222222222221</v>
      </c>
      <c r="Q174">
        <v>-1</v>
      </c>
      <c r="R174" t="s">
        <v>54</v>
      </c>
      <c r="S174" t="s">
        <v>45</v>
      </c>
      <c r="T174" t="s">
        <v>45</v>
      </c>
      <c r="U174">
        <v>3</v>
      </c>
      <c r="V174" t="str">
        <f>VLOOKUP(U174, Lookups!$B$51:$C$57, 2, FALSE)</f>
        <v>A</v>
      </c>
      <c r="W174">
        <v>44</v>
      </c>
      <c r="X174" t="str">
        <f t="shared" ref="X174:X176" si="24">V174&amp;W174</f>
        <v>A44</v>
      </c>
      <c r="Y174">
        <v>6</v>
      </c>
      <c r="Z174" t="str">
        <f>VLOOKUP(Y174, Lookups!$B$14:$C$21, 2, FALSE)</f>
        <v>Single carriageway</v>
      </c>
      <c r="AA174">
        <v>60</v>
      </c>
      <c r="AB174">
        <v>-1</v>
      </c>
      <c r="AC174">
        <v>0</v>
      </c>
      <c r="AD174">
        <v>-1</v>
      </c>
      <c r="AE174">
        <v>0</v>
      </c>
      <c r="AF174">
        <v>-1</v>
      </c>
      <c r="AG174">
        <v>-1</v>
      </c>
      <c r="AH174">
        <v>-1</v>
      </c>
      <c r="AI174">
        <v>0</v>
      </c>
      <c r="AJ174">
        <v>1</v>
      </c>
      <c r="AK174" t="str">
        <f>VLOOKUP(AJ174, Lookups!$B$23:$C$28, 2, FALSE)</f>
        <v>Daylight</v>
      </c>
      <c r="AL174">
        <v>2</v>
      </c>
      <c r="AM174" t="str">
        <f>VLOOKUP(AL174, Lookups!$B$30:$C$39, 2, FALSE)</f>
        <v>Rain</v>
      </c>
      <c r="AN174">
        <v>2</v>
      </c>
      <c r="AO174" t="str">
        <f>VLOOKUP(AN174, Lookups!$B$41:$C$49, 2, FALSE)</f>
        <v>Wet / damp</v>
      </c>
      <c r="AP174">
        <v>-1</v>
      </c>
      <c r="AQ174">
        <v>-1</v>
      </c>
      <c r="AR174">
        <v>0</v>
      </c>
      <c r="AS174">
        <v>2</v>
      </c>
      <c r="AT174">
        <v>1</v>
      </c>
      <c r="AU174">
        <v>2</v>
      </c>
      <c r="AV174" t="s">
        <v>94</v>
      </c>
      <c r="AW174">
        <v>7</v>
      </c>
      <c r="AX174">
        <v>1</v>
      </c>
      <c r="AY174">
        <v>1</v>
      </c>
      <c r="AZ174">
        <v>0</v>
      </c>
    </row>
    <row r="175" spans="1:52" x14ac:dyDescent="0.35">
      <c r="A175">
        <v>2025221568734</v>
      </c>
      <c r="B175">
        <v>2025</v>
      </c>
      <c r="C175">
        <v>221568734</v>
      </c>
      <c r="D175">
        <v>384451</v>
      </c>
      <c r="E175">
        <v>260590</v>
      </c>
      <c r="F175">
        <v>-2.2291400000000001</v>
      </c>
      <c r="G175">
        <v>52.243270000000003</v>
      </c>
      <c r="H175">
        <v>22</v>
      </c>
      <c r="I175">
        <v>3</v>
      </c>
      <c r="J175" t="str">
        <f>VLOOKUP(I175, Lookups!$B$1:$C$4, 2, FALSE)</f>
        <v>Slight</v>
      </c>
      <c r="K175">
        <v>2</v>
      </c>
      <c r="L175">
        <v>1</v>
      </c>
      <c r="M175" s="1">
        <v>45740</v>
      </c>
      <c r="N175">
        <v>2</v>
      </c>
      <c r="O175" t="str">
        <f>VLOOKUP(N175, Lookups!$B$6:$C$12, 2, FALSE)</f>
        <v>Monday</v>
      </c>
      <c r="P175" s="2">
        <v>0.69097222222222221</v>
      </c>
      <c r="Q175">
        <v>-1</v>
      </c>
      <c r="R175" t="s">
        <v>54</v>
      </c>
      <c r="S175" t="s">
        <v>45</v>
      </c>
      <c r="T175" t="s">
        <v>45</v>
      </c>
      <c r="U175">
        <v>3</v>
      </c>
      <c r="V175" t="str">
        <f>VLOOKUP(U175, Lookups!$B$51:$C$57, 2, FALSE)</f>
        <v>A</v>
      </c>
      <c r="W175">
        <v>449</v>
      </c>
      <c r="X175" t="str">
        <f t="shared" si="24"/>
        <v>A449</v>
      </c>
      <c r="Y175">
        <v>3</v>
      </c>
      <c r="Z175" t="str">
        <f>VLOOKUP(Y175, Lookups!$B$14:$C$21, 2, FALSE)</f>
        <v>Dual carriageway</v>
      </c>
      <c r="AA175">
        <v>70</v>
      </c>
      <c r="AB175">
        <v>-1</v>
      </c>
      <c r="AC175">
        <v>13</v>
      </c>
      <c r="AD175">
        <v>4</v>
      </c>
      <c r="AE175">
        <v>6</v>
      </c>
      <c r="AF175">
        <v>0</v>
      </c>
      <c r="AG175">
        <v>-1</v>
      </c>
      <c r="AH175">
        <v>-1</v>
      </c>
      <c r="AI175">
        <v>0</v>
      </c>
      <c r="AJ175">
        <v>1</v>
      </c>
      <c r="AK175" t="str">
        <f>VLOOKUP(AJ175, Lookups!$B$23:$C$28, 2, FALSE)</f>
        <v>Daylight</v>
      </c>
      <c r="AL175">
        <v>1</v>
      </c>
      <c r="AM175" t="str">
        <f>VLOOKUP(AL175, Lookups!$B$30:$C$39, 2, FALSE)</f>
        <v>Fine / Clear</v>
      </c>
      <c r="AN175">
        <v>1</v>
      </c>
      <c r="AO175" t="str">
        <f>VLOOKUP(AN175, Lookups!$B$41:$C$49, 2, FALSE)</f>
        <v>Dry</v>
      </c>
      <c r="AP175">
        <v>-1</v>
      </c>
      <c r="AQ175">
        <v>-1</v>
      </c>
      <c r="AR175">
        <v>0</v>
      </c>
      <c r="AS175">
        <v>2</v>
      </c>
      <c r="AT175">
        <v>3</v>
      </c>
      <c r="AU175">
        <v>2</v>
      </c>
      <c r="AV175" t="s">
        <v>124</v>
      </c>
      <c r="AW175">
        <v>3</v>
      </c>
      <c r="AX175">
        <v>1</v>
      </c>
      <c r="AY175">
        <v>0</v>
      </c>
      <c r="AZ175">
        <v>1</v>
      </c>
    </row>
    <row r="176" spans="1:52" x14ac:dyDescent="0.35">
      <c r="A176">
        <v>2025221622610</v>
      </c>
      <c r="B176">
        <v>2025</v>
      </c>
      <c r="C176">
        <v>221622610</v>
      </c>
      <c r="D176">
        <v>382252</v>
      </c>
      <c r="E176">
        <v>276274</v>
      </c>
      <c r="F176">
        <v>-2.2621799999999999</v>
      </c>
      <c r="G176">
        <v>52.384210000000003</v>
      </c>
      <c r="H176">
        <v>22</v>
      </c>
      <c r="I176">
        <v>2</v>
      </c>
      <c r="J176" t="str">
        <f>VLOOKUP(I176, Lookups!$B$1:$C$4, 2, FALSE)</f>
        <v>Serious</v>
      </c>
      <c r="K176">
        <v>2</v>
      </c>
      <c r="L176">
        <v>2</v>
      </c>
      <c r="M176" s="1">
        <v>45862</v>
      </c>
      <c r="N176">
        <v>5</v>
      </c>
      <c r="O176" t="str">
        <f>VLOOKUP(N176, Lookups!$B$6:$C$12, 2, FALSE)</f>
        <v>Thursday</v>
      </c>
      <c r="P176" s="2">
        <v>0.70486111111111116</v>
      </c>
      <c r="Q176">
        <v>-1</v>
      </c>
      <c r="R176" t="s">
        <v>44</v>
      </c>
      <c r="S176" t="s">
        <v>45</v>
      </c>
      <c r="T176" t="s">
        <v>45</v>
      </c>
      <c r="U176">
        <v>3</v>
      </c>
      <c r="V176" t="str">
        <f>VLOOKUP(U176, Lookups!$B$51:$C$57, 2, FALSE)</f>
        <v>A</v>
      </c>
      <c r="W176">
        <v>4535</v>
      </c>
      <c r="X176" t="str">
        <f t="shared" si="24"/>
        <v>A4535</v>
      </c>
      <c r="Y176">
        <v>6</v>
      </c>
      <c r="Z176" t="str">
        <f>VLOOKUP(Y176, Lookups!$B$14:$C$21, 2, FALSE)</f>
        <v>Single carriageway</v>
      </c>
      <c r="AA176">
        <v>30</v>
      </c>
      <c r="AB176">
        <v>-1</v>
      </c>
      <c r="AC176">
        <v>0</v>
      </c>
      <c r="AD176">
        <v>-1</v>
      </c>
      <c r="AE176">
        <v>6</v>
      </c>
      <c r="AF176">
        <v>0</v>
      </c>
      <c r="AG176">
        <v>-1</v>
      </c>
      <c r="AH176">
        <v>-1</v>
      </c>
      <c r="AI176">
        <v>0</v>
      </c>
      <c r="AJ176">
        <v>1</v>
      </c>
      <c r="AK176" t="str">
        <f>VLOOKUP(AJ176, Lookups!$B$23:$C$28, 2, FALSE)</f>
        <v>Daylight</v>
      </c>
      <c r="AL176">
        <v>1</v>
      </c>
      <c r="AM176" t="str">
        <f>VLOOKUP(AL176, Lookups!$B$30:$C$39, 2, FALSE)</f>
        <v>Fine / Clear</v>
      </c>
      <c r="AN176">
        <v>1</v>
      </c>
      <c r="AO176" t="str">
        <f>VLOOKUP(AN176, Lookups!$B$41:$C$49, 2, FALSE)</f>
        <v>Dry</v>
      </c>
      <c r="AP176">
        <v>-1</v>
      </c>
      <c r="AQ176">
        <v>-1</v>
      </c>
      <c r="AR176">
        <v>0</v>
      </c>
      <c r="AS176">
        <v>1</v>
      </c>
      <c r="AT176">
        <v>1</v>
      </c>
      <c r="AU176">
        <v>2</v>
      </c>
      <c r="AV176" t="s">
        <v>172</v>
      </c>
      <c r="AW176">
        <v>5</v>
      </c>
      <c r="AX176">
        <v>1</v>
      </c>
      <c r="AY176">
        <v>1</v>
      </c>
      <c r="AZ176">
        <v>0</v>
      </c>
    </row>
    <row r="177" spans="1:52" x14ac:dyDescent="0.35">
      <c r="A177">
        <v>2025221640474</v>
      </c>
      <c r="B177">
        <v>2025</v>
      </c>
      <c r="C177">
        <v>221640474</v>
      </c>
      <c r="D177">
        <v>384688</v>
      </c>
      <c r="E177">
        <v>255528</v>
      </c>
      <c r="F177">
        <v>-2.2254399999999999</v>
      </c>
      <c r="G177">
        <v>52.197769999999998</v>
      </c>
      <c r="H177">
        <v>22</v>
      </c>
      <c r="I177">
        <v>3</v>
      </c>
      <c r="J177" t="str">
        <f>VLOOKUP(I177, Lookups!$B$1:$C$4, 2, FALSE)</f>
        <v>Slight</v>
      </c>
      <c r="K177">
        <v>2</v>
      </c>
      <c r="L177">
        <v>1</v>
      </c>
      <c r="M177" s="1">
        <v>45909</v>
      </c>
      <c r="N177">
        <v>3</v>
      </c>
      <c r="O177" t="str">
        <f>VLOOKUP(N177, Lookups!$B$6:$C$12, 2, FALSE)</f>
        <v>Tuesday</v>
      </c>
      <c r="P177" s="2">
        <v>0.71527777777777779</v>
      </c>
      <c r="Q177">
        <v>-1</v>
      </c>
      <c r="R177" t="s">
        <v>60</v>
      </c>
      <c r="S177" t="s">
        <v>45</v>
      </c>
      <c r="T177" t="s">
        <v>45</v>
      </c>
      <c r="U177">
        <v>6</v>
      </c>
      <c r="V177" t="str">
        <f>VLOOKUP(U177, Lookups!$B$51:$C$57, 2, FALSE)</f>
        <v>Unclassified</v>
      </c>
      <c r="W177">
        <v>0</v>
      </c>
      <c r="X177" t="s">
        <v>362</v>
      </c>
      <c r="Y177">
        <v>6</v>
      </c>
      <c r="Z177" t="str">
        <f>VLOOKUP(Y177, Lookups!$B$14:$C$21, 2, FALSE)</f>
        <v>Single carriageway</v>
      </c>
      <c r="AA177">
        <v>30</v>
      </c>
      <c r="AB177">
        <v>-1</v>
      </c>
      <c r="AC177">
        <v>13</v>
      </c>
      <c r="AD177">
        <v>4</v>
      </c>
      <c r="AE177">
        <v>6</v>
      </c>
      <c r="AF177">
        <v>0</v>
      </c>
      <c r="AG177">
        <v>-1</v>
      </c>
      <c r="AH177">
        <v>-1</v>
      </c>
      <c r="AI177">
        <v>0</v>
      </c>
      <c r="AJ177">
        <v>1</v>
      </c>
      <c r="AK177" t="str">
        <f>VLOOKUP(AJ177, Lookups!$B$23:$C$28, 2, FALSE)</f>
        <v>Daylight</v>
      </c>
      <c r="AL177">
        <v>1</v>
      </c>
      <c r="AM177" t="str">
        <f>VLOOKUP(AL177, Lookups!$B$30:$C$39, 2, FALSE)</f>
        <v>Fine / Clear</v>
      </c>
      <c r="AN177">
        <v>1</v>
      </c>
      <c r="AO177" t="str">
        <f>VLOOKUP(AN177, Lookups!$B$41:$C$49, 2, FALSE)</f>
        <v>Dry</v>
      </c>
      <c r="AP177">
        <v>-1</v>
      </c>
      <c r="AQ177">
        <v>-1</v>
      </c>
      <c r="AR177">
        <v>0</v>
      </c>
      <c r="AS177">
        <v>1</v>
      </c>
      <c r="AT177">
        <v>1</v>
      </c>
      <c r="AU177">
        <v>2</v>
      </c>
      <c r="AV177" t="s">
        <v>88</v>
      </c>
      <c r="AW177">
        <v>3</v>
      </c>
      <c r="AX177">
        <v>1</v>
      </c>
      <c r="AY177">
        <v>0</v>
      </c>
      <c r="AZ177">
        <v>1</v>
      </c>
    </row>
    <row r="178" spans="1:52" x14ac:dyDescent="0.35">
      <c r="A178">
        <v>2025221657716</v>
      </c>
      <c r="B178">
        <v>2025</v>
      </c>
      <c r="C178">
        <v>221657716</v>
      </c>
      <c r="D178">
        <v>386304</v>
      </c>
      <c r="E178">
        <v>255966</v>
      </c>
      <c r="F178">
        <v>-2.2018200000000001</v>
      </c>
      <c r="G178">
        <v>52.201749999999997</v>
      </c>
      <c r="H178">
        <v>22</v>
      </c>
      <c r="I178">
        <v>3</v>
      </c>
      <c r="J178" t="str">
        <f>VLOOKUP(I178, Lookups!$B$1:$C$4, 2, FALSE)</f>
        <v>Slight</v>
      </c>
      <c r="K178">
        <v>2</v>
      </c>
      <c r="L178">
        <v>1</v>
      </c>
      <c r="M178" s="1">
        <v>45952</v>
      </c>
      <c r="N178">
        <v>4</v>
      </c>
      <c r="O178" t="str">
        <f>VLOOKUP(N178, Lookups!$B$6:$C$12, 2, FALSE)</f>
        <v>Wednesday</v>
      </c>
      <c r="P178" s="2">
        <v>0.55069444444444449</v>
      </c>
      <c r="Q178">
        <v>-1</v>
      </c>
      <c r="R178" t="s">
        <v>60</v>
      </c>
      <c r="S178" t="s">
        <v>45</v>
      </c>
      <c r="T178" t="s">
        <v>45</v>
      </c>
      <c r="U178">
        <v>6</v>
      </c>
      <c r="V178" t="str">
        <f>VLOOKUP(U178, Lookups!$B$51:$C$57, 2, FALSE)</f>
        <v>Unclassified</v>
      </c>
      <c r="W178">
        <v>0</v>
      </c>
      <c r="X178" t="s">
        <v>362</v>
      </c>
      <c r="Y178">
        <v>6</v>
      </c>
      <c r="Z178" t="str">
        <f>VLOOKUP(Y178, Lookups!$B$14:$C$21, 2, FALSE)</f>
        <v>Single carriageway</v>
      </c>
      <c r="AA178">
        <v>30</v>
      </c>
      <c r="AB178">
        <v>-1</v>
      </c>
      <c r="AC178">
        <v>16</v>
      </c>
      <c r="AD178">
        <v>4</v>
      </c>
      <c r="AE178">
        <v>6</v>
      </c>
      <c r="AF178">
        <v>0</v>
      </c>
      <c r="AG178">
        <v>-1</v>
      </c>
      <c r="AH178">
        <v>-1</v>
      </c>
      <c r="AI178">
        <v>0</v>
      </c>
      <c r="AJ178">
        <v>1</v>
      </c>
      <c r="AK178" t="str">
        <f>VLOOKUP(AJ178, Lookups!$B$23:$C$28, 2, FALSE)</f>
        <v>Daylight</v>
      </c>
      <c r="AL178">
        <v>1</v>
      </c>
      <c r="AM178" t="str">
        <f>VLOOKUP(AL178, Lookups!$B$30:$C$39, 2, FALSE)</f>
        <v>Fine / Clear</v>
      </c>
      <c r="AN178">
        <v>2</v>
      </c>
      <c r="AO178" t="str">
        <f>VLOOKUP(AN178, Lookups!$B$41:$C$49, 2, FALSE)</f>
        <v>Wet / damp</v>
      </c>
      <c r="AP178">
        <v>-1</v>
      </c>
      <c r="AQ178">
        <v>-1</v>
      </c>
      <c r="AR178">
        <v>0</v>
      </c>
      <c r="AS178">
        <v>1</v>
      </c>
      <c r="AT178">
        <v>1</v>
      </c>
      <c r="AU178">
        <v>2</v>
      </c>
      <c r="AV178" t="s">
        <v>173</v>
      </c>
      <c r="AW178">
        <v>3</v>
      </c>
      <c r="AX178">
        <v>1</v>
      </c>
      <c r="AY178">
        <v>0</v>
      </c>
      <c r="AZ178">
        <v>1</v>
      </c>
    </row>
    <row r="179" spans="1:52" x14ac:dyDescent="0.35">
      <c r="A179">
        <v>2025221544981</v>
      </c>
      <c r="B179">
        <v>2025</v>
      </c>
      <c r="C179">
        <v>221544981</v>
      </c>
      <c r="D179">
        <v>385089</v>
      </c>
      <c r="E179">
        <v>254557</v>
      </c>
      <c r="F179">
        <v>-2.2195299999999998</v>
      </c>
      <c r="G179">
        <v>52.189050000000002</v>
      </c>
      <c r="H179">
        <v>22</v>
      </c>
      <c r="I179">
        <v>2</v>
      </c>
      <c r="J179" t="str">
        <f>VLOOKUP(I179, Lookups!$B$1:$C$4, 2, FALSE)</f>
        <v>Serious</v>
      </c>
      <c r="K179">
        <v>2</v>
      </c>
      <c r="L179">
        <v>1</v>
      </c>
      <c r="M179" s="1">
        <v>45679</v>
      </c>
      <c r="N179">
        <v>4</v>
      </c>
      <c r="O179" t="str">
        <f>VLOOKUP(N179, Lookups!$B$6:$C$12, 2, FALSE)</f>
        <v>Wednesday</v>
      </c>
      <c r="P179" s="2">
        <v>0.67361111111111116</v>
      </c>
      <c r="Q179">
        <v>-1</v>
      </c>
      <c r="R179" t="s">
        <v>60</v>
      </c>
      <c r="S179" t="s">
        <v>45</v>
      </c>
      <c r="T179" t="s">
        <v>45</v>
      </c>
      <c r="U179">
        <v>3</v>
      </c>
      <c r="V179" t="str">
        <f>VLOOKUP(U179, Lookups!$B$51:$C$57, 2, FALSE)</f>
        <v>A</v>
      </c>
      <c r="W179">
        <v>44</v>
      </c>
      <c r="X179" t="str">
        <f>V179&amp;W179</f>
        <v>A44</v>
      </c>
      <c r="Y179">
        <v>3</v>
      </c>
      <c r="Z179" t="str">
        <f>VLOOKUP(Y179, Lookups!$B$14:$C$21, 2, FALSE)</f>
        <v>Dual carriageway</v>
      </c>
      <c r="AA179">
        <v>30</v>
      </c>
      <c r="AB179">
        <v>-1</v>
      </c>
      <c r="AC179">
        <v>0</v>
      </c>
      <c r="AD179">
        <v>-1</v>
      </c>
      <c r="AE179">
        <v>6</v>
      </c>
      <c r="AF179">
        <v>0</v>
      </c>
      <c r="AG179">
        <v>-1</v>
      </c>
      <c r="AH179">
        <v>-1</v>
      </c>
      <c r="AI179">
        <v>0</v>
      </c>
      <c r="AJ179">
        <v>1</v>
      </c>
      <c r="AK179" t="str">
        <f>VLOOKUP(AJ179, Lookups!$B$23:$C$28, 2, FALSE)</f>
        <v>Daylight</v>
      </c>
      <c r="AL179">
        <v>1</v>
      </c>
      <c r="AM179" t="str">
        <f>VLOOKUP(AL179, Lookups!$B$30:$C$39, 2, FALSE)</f>
        <v>Fine / Clear</v>
      </c>
      <c r="AN179">
        <v>1</v>
      </c>
      <c r="AO179" t="str">
        <f>VLOOKUP(AN179, Lookups!$B$41:$C$49, 2, FALSE)</f>
        <v>Dry</v>
      </c>
      <c r="AP179">
        <v>-1</v>
      </c>
      <c r="AQ179">
        <v>-1</v>
      </c>
      <c r="AR179">
        <v>0</v>
      </c>
      <c r="AS179">
        <v>1</v>
      </c>
      <c r="AT179">
        <v>1</v>
      </c>
      <c r="AU179">
        <v>2</v>
      </c>
      <c r="AV179" t="s">
        <v>122</v>
      </c>
      <c r="AW179">
        <v>7</v>
      </c>
      <c r="AX179">
        <v>1</v>
      </c>
      <c r="AY179">
        <v>1</v>
      </c>
      <c r="AZ179">
        <v>0</v>
      </c>
    </row>
    <row r="180" spans="1:52" x14ac:dyDescent="0.35">
      <c r="A180">
        <v>2025221545073</v>
      </c>
      <c r="B180">
        <v>2025</v>
      </c>
      <c r="C180">
        <v>221545073</v>
      </c>
      <c r="D180">
        <v>399460</v>
      </c>
      <c r="E180">
        <v>249189</v>
      </c>
      <c r="F180">
        <v>-2.0093100000000002</v>
      </c>
      <c r="G180">
        <v>52.140990000000002</v>
      </c>
      <c r="H180">
        <v>22</v>
      </c>
      <c r="I180">
        <v>3</v>
      </c>
      <c r="J180" t="str">
        <f>VLOOKUP(I180, Lookups!$B$1:$C$4, 2, FALSE)</f>
        <v>Slight</v>
      </c>
      <c r="K180">
        <v>2</v>
      </c>
      <c r="L180">
        <v>2</v>
      </c>
      <c r="M180" s="1">
        <v>45679</v>
      </c>
      <c r="N180">
        <v>4</v>
      </c>
      <c r="O180" t="str">
        <f>VLOOKUP(N180, Lookups!$B$6:$C$12, 2, FALSE)</f>
        <v>Wednesday</v>
      </c>
      <c r="P180" s="2">
        <v>0.80069444444444449</v>
      </c>
      <c r="Q180">
        <v>-1</v>
      </c>
      <c r="R180" t="s">
        <v>54</v>
      </c>
      <c r="S180" t="s">
        <v>45</v>
      </c>
      <c r="T180" t="s">
        <v>45</v>
      </c>
      <c r="U180">
        <v>6</v>
      </c>
      <c r="V180" t="str">
        <f>VLOOKUP(U180, Lookups!$B$51:$C$57, 2, FALSE)</f>
        <v>Unclassified</v>
      </c>
      <c r="W180">
        <v>0</v>
      </c>
      <c r="X180" t="s">
        <v>362</v>
      </c>
      <c r="Y180">
        <v>6</v>
      </c>
      <c r="Z180" t="str">
        <f>VLOOKUP(Y180, Lookups!$B$14:$C$21, 2, FALSE)</f>
        <v>Single carriageway</v>
      </c>
      <c r="AA180">
        <v>30</v>
      </c>
      <c r="AB180">
        <v>-1</v>
      </c>
      <c r="AC180">
        <v>18</v>
      </c>
      <c r="AD180">
        <v>4</v>
      </c>
      <c r="AE180">
        <v>6</v>
      </c>
      <c r="AF180">
        <v>0</v>
      </c>
      <c r="AG180">
        <v>-1</v>
      </c>
      <c r="AH180">
        <v>-1</v>
      </c>
      <c r="AI180">
        <v>0</v>
      </c>
      <c r="AJ180">
        <v>6</v>
      </c>
      <c r="AK180" t="str">
        <f>VLOOKUP(AJ180, Lookups!$B$23:$C$28, 2, FALSE)</f>
        <v>Darkness (Unlit)</v>
      </c>
      <c r="AL180">
        <v>1</v>
      </c>
      <c r="AM180" t="str">
        <f>VLOOKUP(AL180, Lookups!$B$30:$C$39, 2, FALSE)</f>
        <v>Fine / Clear</v>
      </c>
      <c r="AN180">
        <v>1</v>
      </c>
      <c r="AO180" t="str">
        <f>VLOOKUP(AN180, Lookups!$B$41:$C$49, 2, FALSE)</f>
        <v>Dry</v>
      </c>
      <c r="AP180">
        <v>-1</v>
      </c>
      <c r="AQ180">
        <v>-1</v>
      </c>
      <c r="AR180">
        <v>0</v>
      </c>
      <c r="AS180">
        <v>2</v>
      </c>
      <c r="AT180">
        <v>1</v>
      </c>
      <c r="AU180">
        <v>2</v>
      </c>
      <c r="AV180" t="s">
        <v>150</v>
      </c>
      <c r="AW180">
        <v>3</v>
      </c>
      <c r="AX180">
        <v>1</v>
      </c>
      <c r="AY180">
        <v>0</v>
      </c>
      <c r="AZ180">
        <v>1</v>
      </c>
    </row>
    <row r="181" spans="1:52" x14ac:dyDescent="0.35">
      <c r="A181">
        <v>2025221547297</v>
      </c>
      <c r="B181">
        <v>2025</v>
      </c>
      <c r="C181">
        <v>221547297</v>
      </c>
      <c r="D181">
        <v>387683</v>
      </c>
      <c r="E181">
        <v>252274</v>
      </c>
      <c r="F181">
        <v>-2.1815000000000002</v>
      </c>
      <c r="G181">
        <v>52.168590000000002</v>
      </c>
      <c r="H181">
        <v>22</v>
      </c>
      <c r="I181">
        <v>3</v>
      </c>
      <c r="J181" t="str">
        <f>VLOOKUP(I181, Lookups!$B$1:$C$4, 2, FALSE)</f>
        <v>Slight</v>
      </c>
      <c r="K181">
        <v>1</v>
      </c>
      <c r="L181">
        <v>1</v>
      </c>
      <c r="M181" s="1">
        <v>45682</v>
      </c>
      <c r="N181">
        <v>7</v>
      </c>
      <c r="O181" t="str">
        <f>VLOOKUP(N181, Lookups!$B$6:$C$12, 2, FALSE)</f>
        <v>Saturday</v>
      </c>
      <c r="P181" s="2">
        <v>9.7222222222222224E-3</v>
      </c>
      <c r="Q181">
        <v>-1</v>
      </c>
      <c r="R181" t="s">
        <v>54</v>
      </c>
      <c r="S181" t="s">
        <v>45</v>
      </c>
      <c r="T181" t="s">
        <v>45</v>
      </c>
      <c r="U181">
        <v>3</v>
      </c>
      <c r="V181" t="str">
        <f>VLOOKUP(U181, Lookups!$B$51:$C$57, 2, FALSE)</f>
        <v>A</v>
      </c>
      <c r="W181">
        <v>44</v>
      </c>
      <c r="X181" t="str">
        <f t="shared" ref="X181:X183" si="25">V181&amp;W181</f>
        <v>A44</v>
      </c>
      <c r="Y181">
        <v>7</v>
      </c>
      <c r="Z181" t="str">
        <f>VLOOKUP(Y181, Lookups!$B$14:$C$21, 2, FALSE)</f>
        <v>Slip road</v>
      </c>
      <c r="AA181">
        <v>40</v>
      </c>
      <c r="AB181">
        <v>-1</v>
      </c>
      <c r="AC181">
        <v>-1</v>
      </c>
      <c r="AD181">
        <v>2</v>
      </c>
      <c r="AE181">
        <v>1</v>
      </c>
      <c r="AF181">
        <v>5</v>
      </c>
      <c r="AG181">
        <v>-1</v>
      </c>
      <c r="AH181">
        <v>-1</v>
      </c>
      <c r="AI181">
        <v>0</v>
      </c>
      <c r="AJ181">
        <v>4</v>
      </c>
      <c r="AK181" t="str">
        <f>VLOOKUP(AJ181, Lookups!$B$23:$C$28, 2, FALSE)</f>
        <v>Darkness (Lit)</v>
      </c>
      <c r="AL181">
        <v>1</v>
      </c>
      <c r="AM181" t="str">
        <f>VLOOKUP(AL181, Lookups!$B$30:$C$39, 2, FALSE)</f>
        <v>Fine / Clear</v>
      </c>
      <c r="AN181">
        <v>1</v>
      </c>
      <c r="AO181" t="str">
        <f>VLOOKUP(AN181, Lookups!$B$41:$C$49, 2, FALSE)</f>
        <v>Dry</v>
      </c>
      <c r="AP181">
        <v>-1</v>
      </c>
      <c r="AQ181">
        <v>-1</v>
      </c>
      <c r="AR181">
        <v>0</v>
      </c>
      <c r="AS181">
        <v>2</v>
      </c>
      <c r="AT181">
        <v>1</v>
      </c>
      <c r="AU181">
        <v>1</v>
      </c>
      <c r="AV181" t="s">
        <v>132</v>
      </c>
      <c r="AW181">
        <v>3</v>
      </c>
      <c r="AX181">
        <v>1</v>
      </c>
      <c r="AY181">
        <v>0</v>
      </c>
      <c r="AZ181">
        <v>1</v>
      </c>
    </row>
    <row r="182" spans="1:52" x14ac:dyDescent="0.35">
      <c r="A182">
        <v>2025221581770</v>
      </c>
      <c r="B182">
        <v>2025</v>
      </c>
      <c r="C182">
        <v>221581770</v>
      </c>
      <c r="D182">
        <v>392353</v>
      </c>
      <c r="E182">
        <v>242687</v>
      </c>
      <c r="F182">
        <v>-2.1130100000000001</v>
      </c>
      <c r="G182">
        <v>52.082479999999997</v>
      </c>
      <c r="H182">
        <v>22</v>
      </c>
      <c r="I182">
        <v>3</v>
      </c>
      <c r="J182" t="str">
        <f>VLOOKUP(I182, Lookups!$B$1:$C$4, 2, FALSE)</f>
        <v>Slight</v>
      </c>
      <c r="K182">
        <v>3</v>
      </c>
      <c r="L182">
        <v>2</v>
      </c>
      <c r="M182" s="1">
        <v>45764</v>
      </c>
      <c r="N182">
        <v>5</v>
      </c>
      <c r="O182" t="str">
        <f>VLOOKUP(N182, Lookups!$B$6:$C$12, 2, FALSE)</f>
        <v>Thursday</v>
      </c>
      <c r="P182" s="2">
        <v>0.71666666666666667</v>
      </c>
      <c r="Q182">
        <v>-1</v>
      </c>
      <c r="R182" t="s">
        <v>54</v>
      </c>
      <c r="S182" t="s">
        <v>45</v>
      </c>
      <c r="T182" t="s">
        <v>45</v>
      </c>
      <c r="U182">
        <v>4</v>
      </c>
      <c r="V182" t="str">
        <f>VLOOKUP(U182, Lookups!$B$51:$C$57, 2, FALSE)</f>
        <v>B</v>
      </c>
      <c r="W182">
        <v>4080</v>
      </c>
      <c r="X182" t="str">
        <f t="shared" si="25"/>
        <v>B4080</v>
      </c>
      <c r="Y182">
        <v>6</v>
      </c>
      <c r="Z182" t="str">
        <f>VLOOKUP(Y182, Lookups!$B$14:$C$21, 2, FALSE)</f>
        <v>Single carriageway</v>
      </c>
      <c r="AA182">
        <v>60</v>
      </c>
      <c r="AB182">
        <v>-1</v>
      </c>
      <c r="AC182">
        <v>0</v>
      </c>
      <c r="AD182">
        <v>-1</v>
      </c>
      <c r="AE182">
        <v>6</v>
      </c>
      <c r="AF182">
        <v>0</v>
      </c>
      <c r="AG182">
        <v>-1</v>
      </c>
      <c r="AH182">
        <v>-1</v>
      </c>
      <c r="AI182">
        <v>0</v>
      </c>
      <c r="AJ182">
        <v>1</v>
      </c>
      <c r="AK182" t="str">
        <f>VLOOKUP(AJ182, Lookups!$B$23:$C$28, 2, FALSE)</f>
        <v>Daylight</v>
      </c>
      <c r="AL182">
        <v>1</v>
      </c>
      <c r="AM182" t="str">
        <f>VLOOKUP(AL182, Lookups!$B$30:$C$39, 2, FALSE)</f>
        <v>Fine / Clear</v>
      </c>
      <c r="AN182">
        <v>1</v>
      </c>
      <c r="AO182" t="str">
        <f>VLOOKUP(AN182, Lookups!$B$41:$C$49, 2, FALSE)</f>
        <v>Dry</v>
      </c>
      <c r="AP182">
        <v>-1</v>
      </c>
      <c r="AQ182">
        <v>-1</v>
      </c>
      <c r="AR182">
        <v>0</v>
      </c>
      <c r="AS182">
        <v>2</v>
      </c>
      <c r="AT182">
        <v>1</v>
      </c>
      <c r="AU182">
        <v>2</v>
      </c>
      <c r="AV182" t="s">
        <v>174</v>
      </c>
      <c r="AW182">
        <v>3</v>
      </c>
      <c r="AX182">
        <v>1</v>
      </c>
      <c r="AY182">
        <v>0</v>
      </c>
      <c r="AZ182">
        <v>1</v>
      </c>
    </row>
    <row r="183" spans="1:52" x14ac:dyDescent="0.35">
      <c r="A183">
        <v>2025221578659</v>
      </c>
      <c r="B183">
        <v>2025</v>
      </c>
      <c r="C183">
        <v>221578659</v>
      </c>
      <c r="D183">
        <v>385024</v>
      </c>
      <c r="E183">
        <v>278522</v>
      </c>
      <c r="F183">
        <v>-2.2215600000000002</v>
      </c>
      <c r="G183">
        <v>52.404499999999999</v>
      </c>
      <c r="H183">
        <v>22</v>
      </c>
      <c r="I183">
        <v>2</v>
      </c>
      <c r="J183" t="str">
        <f>VLOOKUP(I183, Lookups!$B$1:$C$4, 2, FALSE)</f>
        <v>Serious</v>
      </c>
      <c r="K183">
        <v>2</v>
      </c>
      <c r="L183">
        <v>2</v>
      </c>
      <c r="M183" s="1">
        <v>45763</v>
      </c>
      <c r="N183">
        <v>4</v>
      </c>
      <c r="O183" t="str">
        <f>VLOOKUP(N183, Lookups!$B$6:$C$12, 2, FALSE)</f>
        <v>Wednesday</v>
      </c>
      <c r="P183" s="2">
        <v>0.53472222222222221</v>
      </c>
      <c r="Q183">
        <v>-1</v>
      </c>
      <c r="R183" t="s">
        <v>44</v>
      </c>
      <c r="S183" t="s">
        <v>45</v>
      </c>
      <c r="T183" t="s">
        <v>45</v>
      </c>
      <c r="U183">
        <v>3</v>
      </c>
      <c r="V183" t="str">
        <f>VLOOKUP(U183, Lookups!$B$51:$C$57, 2, FALSE)</f>
        <v>A</v>
      </c>
      <c r="W183">
        <v>451</v>
      </c>
      <c r="X183" t="str">
        <f t="shared" si="25"/>
        <v>A451</v>
      </c>
      <c r="Y183">
        <v>6</v>
      </c>
      <c r="Z183" t="str">
        <f>VLOOKUP(Y183, Lookups!$B$14:$C$21, 2, FALSE)</f>
        <v>Single carriageway</v>
      </c>
      <c r="AA183">
        <v>50</v>
      </c>
      <c r="AB183">
        <v>-1</v>
      </c>
      <c r="AC183">
        <v>13</v>
      </c>
      <c r="AD183">
        <v>4</v>
      </c>
      <c r="AE183">
        <v>6</v>
      </c>
      <c r="AF183">
        <v>0</v>
      </c>
      <c r="AG183">
        <v>-1</v>
      </c>
      <c r="AH183">
        <v>-1</v>
      </c>
      <c r="AI183">
        <v>0</v>
      </c>
      <c r="AJ183">
        <v>1</v>
      </c>
      <c r="AK183" t="str">
        <f>VLOOKUP(AJ183, Lookups!$B$23:$C$28, 2, FALSE)</f>
        <v>Daylight</v>
      </c>
      <c r="AL183">
        <v>1</v>
      </c>
      <c r="AM183" t="str">
        <f>VLOOKUP(AL183, Lookups!$B$30:$C$39, 2, FALSE)</f>
        <v>Fine / Clear</v>
      </c>
      <c r="AN183">
        <v>1</v>
      </c>
      <c r="AO183" t="str">
        <f>VLOOKUP(AN183, Lookups!$B$41:$C$49, 2, FALSE)</f>
        <v>Dry</v>
      </c>
      <c r="AP183">
        <v>-1</v>
      </c>
      <c r="AQ183">
        <v>-1</v>
      </c>
      <c r="AR183">
        <v>0</v>
      </c>
      <c r="AS183">
        <v>2</v>
      </c>
      <c r="AT183">
        <v>1</v>
      </c>
      <c r="AU183">
        <v>2</v>
      </c>
      <c r="AV183" t="s">
        <v>175</v>
      </c>
      <c r="AW183">
        <v>7</v>
      </c>
      <c r="AX183">
        <v>1</v>
      </c>
      <c r="AY183">
        <v>1</v>
      </c>
      <c r="AZ183">
        <v>0</v>
      </c>
    </row>
    <row r="184" spans="1:52" x14ac:dyDescent="0.35">
      <c r="A184">
        <v>2025221604816</v>
      </c>
      <c r="B184">
        <v>2025</v>
      </c>
      <c r="C184">
        <v>221604816</v>
      </c>
      <c r="D184">
        <v>378619</v>
      </c>
      <c r="E184">
        <v>247594</v>
      </c>
      <c r="F184">
        <v>-2.3137300000000001</v>
      </c>
      <c r="G184">
        <v>52.126240000000003</v>
      </c>
      <c r="H184">
        <v>22</v>
      </c>
      <c r="I184">
        <v>3</v>
      </c>
      <c r="J184" t="str">
        <f>VLOOKUP(I184, Lookups!$B$1:$C$4, 2, FALSE)</f>
        <v>Slight</v>
      </c>
      <c r="K184">
        <v>2</v>
      </c>
      <c r="L184">
        <v>1</v>
      </c>
      <c r="M184" s="1">
        <v>45822</v>
      </c>
      <c r="N184">
        <v>7</v>
      </c>
      <c r="O184" t="str">
        <f>VLOOKUP(N184, Lookups!$B$6:$C$12, 2, FALSE)</f>
        <v>Saturday</v>
      </c>
      <c r="P184" s="2">
        <v>0.81944444444444442</v>
      </c>
      <c r="Q184">
        <v>-1</v>
      </c>
      <c r="R184" t="s">
        <v>49</v>
      </c>
      <c r="S184" t="s">
        <v>45</v>
      </c>
      <c r="T184" t="s">
        <v>45</v>
      </c>
      <c r="U184">
        <v>6</v>
      </c>
      <c r="V184" t="str">
        <f>VLOOKUP(U184, Lookups!$B$51:$C$57, 2, FALSE)</f>
        <v>Unclassified</v>
      </c>
      <c r="W184">
        <v>0</v>
      </c>
      <c r="X184" t="s">
        <v>362</v>
      </c>
      <c r="Y184">
        <v>6</v>
      </c>
      <c r="Z184" t="str">
        <f>VLOOKUP(Y184, Lookups!$B$14:$C$21, 2, FALSE)</f>
        <v>Single carriageway</v>
      </c>
      <c r="AA184">
        <v>30</v>
      </c>
      <c r="AB184">
        <v>-1</v>
      </c>
      <c r="AC184">
        <v>13</v>
      </c>
      <c r="AD184">
        <v>4</v>
      </c>
      <c r="AE184">
        <v>6</v>
      </c>
      <c r="AF184">
        <v>0</v>
      </c>
      <c r="AG184">
        <v>-1</v>
      </c>
      <c r="AH184">
        <v>-1</v>
      </c>
      <c r="AI184">
        <v>0</v>
      </c>
      <c r="AJ184">
        <v>1</v>
      </c>
      <c r="AK184" t="str">
        <f>VLOOKUP(AJ184, Lookups!$B$23:$C$28, 2, FALSE)</f>
        <v>Daylight</v>
      </c>
      <c r="AL184">
        <v>1</v>
      </c>
      <c r="AM184" t="str">
        <f>VLOOKUP(AL184, Lookups!$B$30:$C$39, 2, FALSE)</f>
        <v>Fine / Clear</v>
      </c>
      <c r="AN184">
        <v>1</v>
      </c>
      <c r="AO184" t="str">
        <f>VLOOKUP(AN184, Lookups!$B$41:$C$49, 2, FALSE)</f>
        <v>Dry</v>
      </c>
      <c r="AP184">
        <v>-1</v>
      </c>
      <c r="AQ184">
        <v>-1</v>
      </c>
      <c r="AR184">
        <v>0</v>
      </c>
      <c r="AS184">
        <v>1</v>
      </c>
      <c r="AT184">
        <v>1</v>
      </c>
      <c r="AU184">
        <v>2</v>
      </c>
      <c r="AV184" t="s">
        <v>158</v>
      </c>
      <c r="AW184">
        <v>3</v>
      </c>
      <c r="AX184">
        <v>1</v>
      </c>
      <c r="AY184">
        <v>0</v>
      </c>
      <c r="AZ184">
        <v>1</v>
      </c>
    </row>
    <row r="185" spans="1:52" x14ac:dyDescent="0.35">
      <c r="A185">
        <v>2025221606146</v>
      </c>
      <c r="B185">
        <v>2025</v>
      </c>
      <c r="C185">
        <v>221606146</v>
      </c>
      <c r="D185">
        <v>383502</v>
      </c>
      <c r="E185">
        <v>276461</v>
      </c>
      <c r="F185">
        <v>-2.24383</v>
      </c>
      <c r="G185">
        <v>52.385930000000002</v>
      </c>
      <c r="H185">
        <v>22</v>
      </c>
      <c r="I185">
        <v>3</v>
      </c>
      <c r="J185" t="str">
        <f>VLOOKUP(I185, Lookups!$B$1:$C$4, 2, FALSE)</f>
        <v>Slight</v>
      </c>
      <c r="K185">
        <v>2</v>
      </c>
      <c r="L185">
        <v>2</v>
      </c>
      <c r="M185" s="1">
        <v>45830</v>
      </c>
      <c r="N185">
        <v>1</v>
      </c>
      <c r="O185" t="str">
        <f>VLOOKUP(N185, Lookups!$B$6:$C$12, 2, FALSE)</f>
        <v>Sunday</v>
      </c>
      <c r="P185" s="2">
        <v>0.45833333333333331</v>
      </c>
      <c r="Q185">
        <v>-1</v>
      </c>
      <c r="R185" t="s">
        <v>44</v>
      </c>
      <c r="S185" t="s">
        <v>45</v>
      </c>
      <c r="T185" t="s">
        <v>45</v>
      </c>
      <c r="U185">
        <v>3</v>
      </c>
      <c r="V185" t="str">
        <f>VLOOKUP(U185, Lookups!$B$51:$C$57, 2, FALSE)</f>
        <v>A</v>
      </c>
      <c r="W185">
        <v>451</v>
      </c>
      <c r="X185" t="str">
        <f t="shared" ref="X185:X186" si="26">V185&amp;W185</f>
        <v>A451</v>
      </c>
      <c r="Y185">
        <v>3</v>
      </c>
      <c r="Z185" t="str">
        <f>VLOOKUP(Y185, Lookups!$B$14:$C$21, 2, FALSE)</f>
        <v>Dual carriageway</v>
      </c>
      <c r="AA185">
        <v>40</v>
      </c>
      <c r="AB185">
        <v>-1</v>
      </c>
      <c r="AC185">
        <v>17</v>
      </c>
      <c r="AD185">
        <v>4</v>
      </c>
      <c r="AE185">
        <v>3</v>
      </c>
      <c r="AF185">
        <v>451</v>
      </c>
      <c r="AG185">
        <v>-1</v>
      </c>
      <c r="AH185">
        <v>-1</v>
      </c>
      <c r="AI185">
        <v>0</v>
      </c>
      <c r="AJ185">
        <v>1</v>
      </c>
      <c r="AK185" t="str">
        <f>VLOOKUP(AJ185, Lookups!$B$23:$C$28, 2, FALSE)</f>
        <v>Daylight</v>
      </c>
      <c r="AL185">
        <v>1</v>
      </c>
      <c r="AM185" t="str">
        <f>VLOOKUP(AL185, Lookups!$B$30:$C$39, 2, FALSE)</f>
        <v>Fine / Clear</v>
      </c>
      <c r="AN185">
        <v>1</v>
      </c>
      <c r="AO185" t="str">
        <f>VLOOKUP(AN185, Lookups!$B$41:$C$49, 2, FALSE)</f>
        <v>Dry</v>
      </c>
      <c r="AP185">
        <v>-1</v>
      </c>
      <c r="AQ185">
        <v>-1</v>
      </c>
      <c r="AR185">
        <v>0</v>
      </c>
      <c r="AS185">
        <v>1</v>
      </c>
      <c r="AT185">
        <v>3</v>
      </c>
      <c r="AU185">
        <v>2</v>
      </c>
      <c r="AV185" t="s">
        <v>170</v>
      </c>
      <c r="AW185">
        <v>3</v>
      </c>
      <c r="AX185">
        <v>1</v>
      </c>
      <c r="AY185">
        <v>0</v>
      </c>
      <c r="AZ185">
        <v>1</v>
      </c>
    </row>
    <row r="186" spans="1:52" x14ac:dyDescent="0.35">
      <c r="A186">
        <v>2025221538805</v>
      </c>
      <c r="B186">
        <v>2025</v>
      </c>
      <c r="C186">
        <v>221538805</v>
      </c>
      <c r="D186">
        <v>391883</v>
      </c>
      <c r="E186">
        <v>265634</v>
      </c>
      <c r="F186">
        <v>-2.1204200000000002</v>
      </c>
      <c r="G186">
        <v>52.288780000000003</v>
      </c>
      <c r="H186">
        <v>22</v>
      </c>
      <c r="I186">
        <v>2</v>
      </c>
      <c r="J186" t="str">
        <f>VLOOKUP(I186, Lookups!$B$1:$C$4, 2, FALSE)</f>
        <v>Serious</v>
      </c>
      <c r="K186">
        <v>3</v>
      </c>
      <c r="L186">
        <v>3</v>
      </c>
      <c r="M186" s="1">
        <v>45664</v>
      </c>
      <c r="N186">
        <v>3</v>
      </c>
      <c r="O186" t="str">
        <f>VLOOKUP(N186, Lookups!$B$6:$C$12, 2, FALSE)</f>
        <v>Tuesday</v>
      </c>
      <c r="P186" s="2">
        <v>0.70833333333333337</v>
      </c>
      <c r="Q186">
        <v>-1</v>
      </c>
      <c r="R186" t="s">
        <v>54</v>
      </c>
      <c r="S186" t="s">
        <v>45</v>
      </c>
      <c r="T186" t="s">
        <v>45</v>
      </c>
      <c r="U186">
        <v>1</v>
      </c>
      <c r="V186" t="str">
        <f>VLOOKUP(U186, Lookups!$B$51:$C$57, 2, FALSE)</f>
        <v>M</v>
      </c>
      <c r="W186">
        <v>5</v>
      </c>
      <c r="X186" t="str">
        <f t="shared" si="26"/>
        <v>M5</v>
      </c>
      <c r="Y186">
        <v>3</v>
      </c>
      <c r="Z186" t="str">
        <f>VLOOKUP(Y186, Lookups!$B$14:$C$21, 2, FALSE)</f>
        <v>Dual carriageway</v>
      </c>
      <c r="AA186">
        <v>70</v>
      </c>
      <c r="AB186">
        <v>-1</v>
      </c>
      <c r="AC186">
        <v>0</v>
      </c>
      <c r="AD186">
        <v>-1</v>
      </c>
      <c r="AE186">
        <v>0</v>
      </c>
      <c r="AF186">
        <v>-1</v>
      </c>
      <c r="AG186">
        <v>-1</v>
      </c>
      <c r="AH186">
        <v>-1</v>
      </c>
      <c r="AI186">
        <v>0</v>
      </c>
      <c r="AJ186">
        <v>6</v>
      </c>
      <c r="AK186" t="str">
        <f>VLOOKUP(AJ186, Lookups!$B$23:$C$28, 2, FALSE)</f>
        <v>Darkness (Unlit)</v>
      </c>
      <c r="AL186">
        <v>1</v>
      </c>
      <c r="AM186" t="str">
        <f>VLOOKUP(AL186, Lookups!$B$30:$C$39, 2, FALSE)</f>
        <v>Fine / Clear</v>
      </c>
      <c r="AN186">
        <v>2</v>
      </c>
      <c r="AO186" t="str">
        <f>VLOOKUP(AN186, Lookups!$B$41:$C$49, 2, FALSE)</f>
        <v>Wet / damp</v>
      </c>
      <c r="AP186">
        <v>-1</v>
      </c>
      <c r="AQ186">
        <v>-1</v>
      </c>
      <c r="AR186">
        <v>13</v>
      </c>
      <c r="AS186">
        <v>2</v>
      </c>
      <c r="AT186">
        <v>1</v>
      </c>
      <c r="AU186">
        <v>1</v>
      </c>
      <c r="AV186" t="s">
        <v>131</v>
      </c>
      <c r="AW186">
        <v>7</v>
      </c>
      <c r="AX186">
        <v>1</v>
      </c>
      <c r="AY186">
        <v>1</v>
      </c>
      <c r="AZ186">
        <v>0</v>
      </c>
    </row>
    <row r="187" spans="1:52" x14ac:dyDescent="0.35">
      <c r="A187">
        <v>2025221599487</v>
      </c>
      <c r="B187">
        <v>2025</v>
      </c>
      <c r="C187">
        <v>221599487</v>
      </c>
      <c r="D187">
        <v>402910</v>
      </c>
      <c r="E187">
        <v>267470</v>
      </c>
      <c r="F187">
        <v>-1.9587399999999999</v>
      </c>
      <c r="G187">
        <v>52.305340000000001</v>
      </c>
      <c r="H187">
        <v>22</v>
      </c>
      <c r="I187">
        <v>3</v>
      </c>
      <c r="J187" t="str">
        <f>VLOOKUP(I187, Lookups!$B$1:$C$4, 2, FALSE)</f>
        <v>Slight</v>
      </c>
      <c r="K187">
        <v>2</v>
      </c>
      <c r="L187">
        <v>1</v>
      </c>
      <c r="M187" s="1">
        <v>45811</v>
      </c>
      <c r="N187">
        <v>3</v>
      </c>
      <c r="O187" t="str">
        <f>VLOOKUP(N187, Lookups!$B$6:$C$12, 2, FALSE)</f>
        <v>Tuesday</v>
      </c>
      <c r="P187" s="2">
        <v>0.75208333333333333</v>
      </c>
      <c r="Q187">
        <v>-1</v>
      </c>
      <c r="R187" t="s">
        <v>69</v>
      </c>
      <c r="S187" t="s">
        <v>45</v>
      </c>
      <c r="T187" t="s">
        <v>45</v>
      </c>
      <c r="U187">
        <v>6</v>
      </c>
      <c r="V187" t="str">
        <f>VLOOKUP(U187, Lookups!$B$51:$C$57, 2, FALSE)</f>
        <v>Unclassified</v>
      </c>
      <c r="W187">
        <v>0</v>
      </c>
      <c r="X187" t="s">
        <v>362</v>
      </c>
      <c r="Y187">
        <v>6</v>
      </c>
      <c r="Z187" t="str">
        <f>VLOOKUP(Y187, Lookups!$B$14:$C$21, 2, FALSE)</f>
        <v>Single carriageway</v>
      </c>
      <c r="AA187">
        <v>30</v>
      </c>
      <c r="AB187">
        <v>-1</v>
      </c>
      <c r="AC187">
        <v>0</v>
      </c>
      <c r="AD187">
        <v>-1</v>
      </c>
      <c r="AE187">
        <v>6</v>
      </c>
      <c r="AF187">
        <v>0</v>
      </c>
      <c r="AG187">
        <v>-1</v>
      </c>
      <c r="AH187">
        <v>-1</v>
      </c>
      <c r="AI187">
        <v>0</v>
      </c>
      <c r="AJ187">
        <v>1</v>
      </c>
      <c r="AK187" t="str">
        <f>VLOOKUP(AJ187, Lookups!$B$23:$C$28, 2, FALSE)</f>
        <v>Daylight</v>
      </c>
      <c r="AL187">
        <v>1</v>
      </c>
      <c r="AM187" t="str">
        <f>VLOOKUP(AL187, Lookups!$B$30:$C$39, 2, FALSE)</f>
        <v>Fine / Clear</v>
      </c>
      <c r="AN187">
        <v>1</v>
      </c>
      <c r="AO187" t="str">
        <f>VLOOKUP(AN187, Lookups!$B$41:$C$49, 2, FALSE)</f>
        <v>Dry</v>
      </c>
      <c r="AP187">
        <v>-1</v>
      </c>
      <c r="AQ187">
        <v>-1</v>
      </c>
      <c r="AR187">
        <v>0</v>
      </c>
      <c r="AS187">
        <v>1</v>
      </c>
      <c r="AT187">
        <v>1</v>
      </c>
      <c r="AU187">
        <v>2</v>
      </c>
      <c r="AV187" t="s">
        <v>176</v>
      </c>
      <c r="AW187">
        <v>3</v>
      </c>
      <c r="AX187">
        <v>1</v>
      </c>
      <c r="AY187">
        <v>0</v>
      </c>
      <c r="AZ187">
        <v>1</v>
      </c>
    </row>
    <row r="188" spans="1:52" x14ac:dyDescent="0.35">
      <c r="A188">
        <v>2025221674167</v>
      </c>
      <c r="B188">
        <v>2025</v>
      </c>
      <c r="C188">
        <v>221674167</v>
      </c>
      <c r="D188">
        <v>389600</v>
      </c>
      <c r="E188">
        <v>263310</v>
      </c>
      <c r="F188">
        <v>-2.1538200000000001</v>
      </c>
      <c r="G188">
        <v>52.267850000000003</v>
      </c>
      <c r="H188">
        <v>22</v>
      </c>
      <c r="I188">
        <v>3</v>
      </c>
      <c r="J188" t="str">
        <f>VLOOKUP(I188, Lookups!$B$1:$C$4, 2, FALSE)</f>
        <v>Slight</v>
      </c>
      <c r="K188">
        <v>2</v>
      </c>
      <c r="L188">
        <v>1</v>
      </c>
      <c r="M188" s="1">
        <v>45987</v>
      </c>
      <c r="N188">
        <v>4</v>
      </c>
      <c r="O188" t="str">
        <f>VLOOKUP(N188, Lookups!$B$6:$C$12, 2, FALSE)</f>
        <v>Wednesday</v>
      </c>
      <c r="P188" s="2">
        <v>0.52777777777777779</v>
      </c>
      <c r="Q188">
        <v>-1</v>
      </c>
      <c r="R188" t="s">
        <v>54</v>
      </c>
      <c r="S188" t="s">
        <v>45</v>
      </c>
      <c r="T188" t="s">
        <v>45</v>
      </c>
      <c r="U188">
        <v>4</v>
      </c>
      <c r="V188" t="str">
        <f>VLOOKUP(U188, Lookups!$B$51:$C$57, 2, FALSE)</f>
        <v>B</v>
      </c>
      <c r="W188">
        <v>4090</v>
      </c>
      <c r="X188" t="str">
        <f t="shared" ref="X188:X190" si="27">V188&amp;W188</f>
        <v>B4090</v>
      </c>
      <c r="Y188">
        <v>1</v>
      </c>
      <c r="Z188" t="str">
        <f>VLOOKUP(Y188, Lookups!$B$14:$C$21, 2, FALSE)</f>
        <v>Roundabout</v>
      </c>
      <c r="AA188">
        <v>30</v>
      </c>
      <c r="AB188">
        <v>-1</v>
      </c>
      <c r="AC188">
        <v>-1</v>
      </c>
      <c r="AD188">
        <v>4</v>
      </c>
      <c r="AE188">
        <v>6</v>
      </c>
      <c r="AF188">
        <v>0</v>
      </c>
      <c r="AG188">
        <v>-1</v>
      </c>
      <c r="AH188">
        <v>-1</v>
      </c>
      <c r="AI188">
        <v>0</v>
      </c>
      <c r="AJ188">
        <v>1</v>
      </c>
      <c r="AK188" t="str">
        <f>VLOOKUP(AJ188, Lookups!$B$23:$C$28, 2, FALSE)</f>
        <v>Daylight</v>
      </c>
      <c r="AL188">
        <v>1</v>
      </c>
      <c r="AM188" t="str">
        <f>VLOOKUP(AL188, Lookups!$B$30:$C$39, 2, FALSE)</f>
        <v>Fine / Clear</v>
      </c>
      <c r="AN188">
        <v>1</v>
      </c>
      <c r="AO188" t="str">
        <f>VLOOKUP(AN188, Lookups!$B$41:$C$49, 2, FALSE)</f>
        <v>Dry</v>
      </c>
      <c r="AP188">
        <v>-1</v>
      </c>
      <c r="AQ188">
        <v>-1</v>
      </c>
      <c r="AR188">
        <v>0</v>
      </c>
      <c r="AS188">
        <v>1</v>
      </c>
      <c r="AT188">
        <v>1</v>
      </c>
      <c r="AU188">
        <v>2</v>
      </c>
      <c r="AV188" t="s">
        <v>177</v>
      </c>
      <c r="AW188">
        <v>3</v>
      </c>
      <c r="AX188">
        <v>1</v>
      </c>
      <c r="AY188">
        <v>0</v>
      </c>
      <c r="AZ188">
        <v>1</v>
      </c>
    </row>
    <row r="189" spans="1:52" x14ac:dyDescent="0.35">
      <c r="A189">
        <v>2025221576694</v>
      </c>
      <c r="B189">
        <v>2025</v>
      </c>
      <c r="C189">
        <v>221576694</v>
      </c>
      <c r="D189">
        <v>385409</v>
      </c>
      <c r="E189">
        <v>253396</v>
      </c>
      <c r="F189">
        <v>-2.2147999999999999</v>
      </c>
      <c r="G189">
        <v>52.178620000000002</v>
      </c>
      <c r="H189">
        <v>22</v>
      </c>
      <c r="I189">
        <v>3</v>
      </c>
      <c r="J189" t="str">
        <f>VLOOKUP(I189, Lookups!$B$1:$C$4, 2, FALSE)</f>
        <v>Slight</v>
      </c>
      <c r="K189">
        <v>2</v>
      </c>
      <c r="L189">
        <v>1</v>
      </c>
      <c r="M189" s="1">
        <v>45757</v>
      </c>
      <c r="N189">
        <v>5</v>
      </c>
      <c r="O189" t="str">
        <f>VLOOKUP(N189, Lookups!$B$6:$C$12, 2, FALSE)</f>
        <v>Thursday</v>
      </c>
      <c r="P189" s="2">
        <v>0.5625</v>
      </c>
      <c r="Q189">
        <v>-1</v>
      </c>
      <c r="R189" t="s">
        <v>60</v>
      </c>
      <c r="S189" t="s">
        <v>45</v>
      </c>
      <c r="T189" t="s">
        <v>45</v>
      </c>
      <c r="U189">
        <v>3</v>
      </c>
      <c r="V189" t="str">
        <f>VLOOKUP(U189, Lookups!$B$51:$C$57, 2, FALSE)</f>
        <v>A</v>
      </c>
      <c r="W189">
        <v>38</v>
      </c>
      <c r="X189" t="str">
        <f t="shared" si="27"/>
        <v>A38</v>
      </c>
      <c r="Y189">
        <v>6</v>
      </c>
      <c r="Z189" t="str">
        <f>VLOOKUP(Y189, Lookups!$B$14:$C$21, 2, FALSE)</f>
        <v>Single carriageway</v>
      </c>
      <c r="AA189">
        <v>30</v>
      </c>
      <c r="AB189">
        <v>-1</v>
      </c>
      <c r="AC189">
        <v>0</v>
      </c>
      <c r="AD189">
        <v>-1</v>
      </c>
      <c r="AE189">
        <v>6</v>
      </c>
      <c r="AF189">
        <v>0</v>
      </c>
      <c r="AG189">
        <v>-1</v>
      </c>
      <c r="AH189">
        <v>-1</v>
      </c>
      <c r="AI189">
        <v>0</v>
      </c>
      <c r="AJ189">
        <v>1</v>
      </c>
      <c r="AK189" t="str">
        <f>VLOOKUP(AJ189, Lookups!$B$23:$C$28, 2, FALSE)</f>
        <v>Daylight</v>
      </c>
      <c r="AL189">
        <v>1</v>
      </c>
      <c r="AM189" t="str">
        <f>VLOOKUP(AL189, Lookups!$B$30:$C$39, 2, FALSE)</f>
        <v>Fine / Clear</v>
      </c>
      <c r="AN189">
        <v>1</v>
      </c>
      <c r="AO189" t="str">
        <f>VLOOKUP(AN189, Lookups!$B$41:$C$49, 2, FALSE)</f>
        <v>Dry</v>
      </c>
      <c r="AP189">
        <v>-1</v>
      </c>
      <c r="AQ189">
        <v>-1</v>
      </c>
      <c r="AR189">
        <v>0</v>
      </c>
      <c r="AS189">
        <v>1</v>
      </c>
      <c r="AT189">
        <v>3</v>
      </c>
      <c r="AU189">
        <v>2</v>
      </c>
      <c r="AV189" t="s">
        <v>178</v>
      </c>
      <c r="AW189">
        <v>3</v>
      </c>
      <c r="AX189">
        <v>1</v>
      </c>
      <c r="AY189">
        <v>0</v>
      </c>
      <c r="AZ189">
        <v>1</v>
      </c>
    </row>
    <row r="190" spans="1:52" x14ac:dyDescent="0.35">
      <c r="A190">
        <v>2025221600539</v>
      </c>
      <c r="B190">
        <v>2025</v>
      </c>
      <c r="C190">
        <v>221600539</v>
      </c>
      <c r="D190">
        <v>377317</v>
      </c>
      <c r="E190">
        <v>242276</v>
      </c>
      <c r="F190">
        <v>-2.3323900000000002</v>
      </c>
      <c r="G190">
        <v>52.07837</v>
      </c>
      <c r="H190">
        <v>22</v>
      </c>
      <c r="I190">
        <v>3</v>
      </c>
      <c r="J190" t="str">
        <f>VLOOKUP(I190, Lookups!$B$1:$C$4, 2, FALSE)</f>
        <v>Slight</v>
      </c>
      <c r="K190">
        <v>2</v>
      </c>
      <c r="L190">
        <v>1</v>
      </c>
      <c r="M190" s="1">
        <v>45813</v>
      </c>
      <c r="N190">
        <v>5</v>
      </c>
      <c r="O190" t="str">
        <f>VLOOKUP(N190, Lookups!$B$6:$C$12, 2, FALSE)</f>
        <v>Thursday</v>
      </c>
      <c r="P190" s="2">
        <v>0.64444444444444449</v>
      </c>
      <c r="Q190">
        <v>-1</v>
      </c>
      <c r="R190" t="s">
        <v>49</v>
      </c>
      <c r="S190" t="s">
        <v>45</v>
      </c>
      <c r="T190" t="s">
        <v>45</v>
      </c>
      <c r="U190">
        <v>3</v>
      </c>
      <c r="V190" t="str">
        <f>VLOOKUP(U190, Lookups!$B$51:$C$57, 2, FALSE)</f>
        <v>A</v>
      </c>
      <c r="W190">
        <v>449</v>
      </c>
      <c r="X190" t="str">
        <f t="shared" si="27"/>
        <v>A449</v>
      </c>
      <c r="Y190">
        <v>6</v>
      </c>
      <c r="Z190" t="str">
        <f>VLOOKUP(Y190, Lookups!$B$14:$C$21, 2, FALSE)</f>
        <v>Single carriageway</v>
      </c>
      <c r="AA190">
        <v>30</v>
      </c>
      <c r="AB190">
        <v>-1</v>
      </c>
      <c r="AC190">
        <v>18</v>
      </c>
      <c r="AD190">
        <v>4</v>
      </c>
      <c r="AE190">
        <v>6</v>
      </c>
      <c r="AF190">
        <v>0</v>
      </c>
      <c r="AG190">
        <v>-1</v>
      </c>
      <c r="AH190">
        <v>-1</v>
      </c>
      <c r="AI190">
        <v>0</v>
      </c>
      <c r="AJ190">
        <v>1</v>
      </c>
      <c r="AK190" t="str">
        <f>VLOOKUP(AJ190, Lookups!$B$23:$C$28, 2, FALSE)</f>
        <v>Daylight</v>
      </c>
      <c r="AL190">
        <v>1</v>
      </c>
      <c r="AM190" t="str">
        <f>VLOOKUP(AL190, Lookups!$B$30:$C$39, 2, FALSE)</f>
        <v>Fine / Clear</v>
      </c>
      <c r="AN190">
        <v>2</v>
      </c>
      <c r="AO190" t="str">
        <f>VLOOKUP(AN190, Lookups!$B$41:$C$49, 2, FALSE)</f>
        <v>Wet / damp</v>
      </c>
      <c r="AP190">
        <v>-1</v>
      </c>
      <c r="AQ190">
        <v>-1</v>
      </c>
      <c r="AR190">
        <v>0</v>
      </c>
      <c r="AS190">
        <v>1</v>
      </c>
      <c r="AT190">
        <v>1</v>
      </c>
      <c r="AU190">
        <v>2</v>
      </c>
      <c r="AV190" t="s">
        <v>179</v>
      </c>
      <c r="AW190">
        <v>3</v>
      </c>
      <c r="AX190">
        <v>1</v>
      </c>
      <c r="AY190">
        <v>0</v>
      </c>
      <c r="AZ190">
        <v>1</v>
      </c>
    </row>
    <row r="191" spans="1:52" x14ac:dyDescent="0.35">
      <c r="A191">
        <v>2025221609006</v>
      </c>
      <c r="B191">
        <v>2025</v>
      </c>
      <c r="C191">
        <v>221609006</v>
      </c>
      <c r="D191">
        <v>411746</v>
      </c>
      <c r="E191">
        <v>244275</v>
      </c>
      <c r="F191">
        <v>-1.82995</v>
      </c>
      <c r="G191">
        <v>52.096690000000002</v>
      </c>
      <c r="H191">
        <v>22</v>
      </c>
      <c r="I191">
        <v>3</v>
      </c>
      <c r="J191" t="str">
        <f>VLOOKUP(I191, Lookups!$B$1:$C$4, 2, FALSE)</f>
        <v>Slight</v>
      </c>
      <c r="K191">
        <v>3</v>
      </c>
      <c r="L191">
        <v>1</v>
      </c>
      <c r="M191" s="1">
        <v>45836</v>
      </c>
      <c r="N191">
        <v>7</v>
      </c>
      <c r="O191" t="str">
        <f>VLOOKUP(N191, Lookups!$B$6:$C$12, 2, FALSE)</f>
        <v>Saturday</v>
      </c>
      <c r="P191" s="2">
        <v>0.69444444444444442</v>
      </c>
      <c r="Q191">
        <v>-1</v>
      </c>
      <c r="R191" t="s">
        <v>54</v>
      </c>
      <c r="S191" t="s">
        <v>45</v>
      </c>
      <c r="T191" t="s">
        <v>45</v>
      </c>
      <c r="U191">
        <v>6</v>
      </c>
      <c r="V191" t="str">
        <f>VLOOKUP(U191, Lookups!$B$51:$C$57, 2, FALSE)</f>
        <v>Unclassified</v>
      </c>
      <c r="W191">
        <v>0</v>
      </c>
      <c r="X191" t="s">
        <v>362</v>
      </c>
      <c r="Y191">
        <v>6</v>
      </c>
      <c r="Z191" t="str">
        <f>VLOOKUP(Y191, Lookups!$B$14:$C$21, 2, FALSE)</f>
        <v>Single carriageway</v>
      </c>
      <c r="AA191">
        <v>30</v>
      </c>
      <c r="AB191">
        <v>-1</v>
      </c>
      <c r="AC191">
        <v>13</v>
      </c>
      <c r="AD191">
        <v>4</v>
      </c>
      <c r="AE191">
        <v>6</v>
      </c>
      <c r="AF191">
        <v>0</v>
      </c>
      <c r="AG191">
        <v>-1</v>
      </c>
      <c r="AH191">
        <v>-1</v>
      </c>
      <c r="AI191">
        <v>0</v>
      </c>
      <c r="AJ191">
        <v>1</v>
      </c>
      <c r="AK191" t="str">
        <f>VLOOKUP(AJ191, Lookups!$B$23:$C$28, 2, FALSE)</f>
        <v>Daylight</v>
      </c>
      <c r="AL191">
        <v>1</v>
      </c>
      <c r="AM191" t="str">
        <f>VLOOKUP(AL191, Lookups!$B$30:$C$39, 2, FALSE)</f>
        <v>Fine / Clear</v>
      </c>
      <c r="AN191">
        <v>1</v>
      </c>
      <c r="AO191" t="str">
        <f>VLOOKUP(AN191, Lookups!$B$41:$C$49, 2, FALSE)</f>
        <v>Dry</v>
      </c>
      <c r="AP191">
        <v>-1</v>
      </c>
      <c r="AQ191">
        <v>-1</v>
      </c>
      <c r="AR191">
        <v>0</v>
      </c>
      <c r="AS191">
        <v>2</v>
      </c>
      <c r="AT191">
        <v>1</v>
      </c>
      <c r="AU191">
        <v>2</v>
      </c>
      <c r="AV191" t="s">
        <v>180</v>
      </c>
      <c r="AW191">
        <v>3</v>
      </c>
      <c r="AX191">
        <v>1</v>
      </c>
      <c r="AY191">
        <v>0</v>
      </c>
      <c r="AZ191">
        <v>1</v>
      </c>
    </row>
    <row r="192" spans="1:52" x14ac:dyDescent="0.35">
      <c r="A192">
        <v>2025221687936</v>
      </c>
      <c r="B192">
        <v>2025</v>
      </c>
      <c r="C192">
        <v>221687936</v>
      </c>
      <c r="D192">
        <v>383492</v>
      </c>
      <c r="E192">
        <v>252153</v>
      </c>
      <c r="F192">
        <v>-2.2427800000000002</v>
      </c>
      <c r="G192">
        <v>52.167389999999997</v>
      </c>
      <c r="H192">
        <v>22</v>
      </c>
      <c r="I192">
        <v>3</v>
      </c>
      <c r="J192" t="str">
        <f>VLOOKUP(I192, Lookups!$B$1:$C$4, 2, FALSE)</f>
        <v>Slight</v>
      </c>
      <c r="K192">
        <v>2</v>
      </c>
      <c r="L192">
        <v>1</v>
      </c>
      <c r="M192" s="1">
        <v>46016</v>
      </c>
      <c r="N192">
        <v>5</v>
      </c>
      <c r="O192" t="str">
        <f>VLOOKUP(N192, Lookups!$B$6:$C$12, 2, FALSE)</f>
        <v>Thursday</v>
      </c>
      <c r="P192" s="2">
        <v>0.57361111111111107</v>
      </c>
      <c r="Q192">
        <v>-1</v>
      </c>
      <c r="R192" t="s">
        <v>49</v>
      </c>
      <c r="S192" t="s">
        <v>45</v>
      </c>
      <c r="T192" t="s">
        <v>45</v>
      </c>
      <c r="U192">
        <v>3</v>
      </c>
      <c r="V192" t="str">
        <f>VLOOKUP(U192, Lookups!$B$51:$C$57, 2, FALSE)</f>
        <v>A</v>
      </c>
      <c r="W192">
        <v>449</v>
      </c>
      <c r="X192" t="str">
        <f>V192&amp;W192</f>
        <v>A449</v>
      </c>
      <c r="Y192">
        <v>3</v>
      </c>
      <c r="Z192" t="str">
        <f>VLOOKUP(Y192, Lookups!$B$14:$C$21, 2, FALSE)</f>
        <v>Dual carriageway</v>
      </c>
      <c r="AA192">
        <v>40</v>
      </c>
      <c r="AB192">
        <v>-1</v>
      </c>
      <c r="AC192">
        <v>19</v>
      </c>
      <c r="AD192">
        <v>4</v>
      </c>
      <c r="AE192">
        <v>3</v>
      </c>
      <c r="AF192">
        <v>4440</v>
      </c>
      <c r="AG192">
        <v>-1</v>
      </c>
      <c r="AH192">
        <v>-1</v>
      </c>
      <c r="AI192">
        <v>0</v>
      </c>
      <c r="AJ192">
        <v>1</v>
      </c>
      <c r="AK192" t="str">
        <f>VLOOKUP(AJ192, Lookups!$B$23:$C$28, 2, FALSE)</f>
        <v>Daylight</v>
      </c>
      <c r="AL192">
        <v>1</v>
      </c>
      <c r="AM192" t="str">
        <f>VLOOKUP(AL192, Lookups!$B$30:$C$39, 2, FALSE)</f>
        <v>Fine / Clear</v>
      </c>
      <c r="AN192">
        <v>1</v>
      </c>
      <c r="AO192" t="str">
        <f>VLOOKUP(AN192, Lookups!$B$41:$C$49, 2, FALSE)</f>
        <v>Dry</v>
      </c>
      <c r="AP192">
        <v>-1</v>
      </c>
      <c r="AQ192">
        <v>-1</v>
      </c>
      <c r="AR192">
        <v>0</v>
      </c>
      <c r="AS192">
        <v>2</v>
      </c>
      <c r="AT192">
        <v>3</v>
      </c>
      <c r="AU192">
        <v>2</v>
      </c>
      <c r="AV192" t="s">
        <v>65</v>
      </c>
      <c r="AW192">
        <v>3</v>
      </c>
      <c r="AX192">
        <v>1</v>
      </c>
      <c r="AY192">
        <v>0</v>
      </c>
      <c r="AZ192">
        <v>1</v>
      </c>
    </row>
    <row r="193" spans="1:52" x14ac:dyDescent="0.35">
      <c r="A193">
        <v>2025221707231</v>
      </c>
      <c r="B193">
        <v>2025</v>
      </c>
      <c r="C193">
        <v>221707231</v>
      </c>
      <c r="D193">
        <v>396256</v>
      </c>
      <c r="E193">
        <v>271163</v>
      </c>
      <c r="F193">
        <v>-2.0563699999999998</v>
      </c>
      <c r="G193">
        <v>52.338529999999999</v>
      </c>
      <c r="H193">
        <v>22</v>
      </c>
      <c r="I193">
        <v>2</v>
      </c>
      <c r="J193" t="str">
        <f>VLOOKUP(I193, Lookups!$B$1:$C$4, 2, FALSE)</f>
        <v>Serious</v>
      </c>
      <c r="K193">
        <v>1</v>
      </c>
      <c r="L193">
        <v>1</v>
      </c>
      <c r="M193" s="1">
        <v>46008</v>
      </c>
      <c r="N193">
        <v>4</v>
      </c>
      <c r="O193" t="str">
        <f>VLOOKUP(N193, Lookups!$B$6:$C$12, 2, FALSE)</f>
        <v>Wednesday</v>
      </c>
      <c r="P193" s="2">
        <v>0.8305555555555556</v>
      </c>
      <c r="Q193">
        <v>-1</v>
      </c>
      <c r="R193" t="s">
        <v>47</v>
      </c>
      <c r="S193" t="s">
        <v>45</v>
      </c>
      <c r="T193" t="s">
        <v>45</v>
      </c>
      <c r="U193">
        <v>6</v>
      </c>
      <c r="V193" t="str">
        <f>VLOOKUP(U193, Lookups!$B$51:$C$57, 2, FALSE)</f>
        <v>Unclassified</v>
      </c>
      <c r="W193">
        <v>0</v>
      </c>
      <c r="X193" t="s">
        <v>362</v>
      </c>
      <c r="Y193">
        <v>6</v>
      </c>
      <c r="Z193" t="str">
        <f>VLOOKUP(Y193, Lookups!$B$14:$C$21, 2, FALSE)</f>
        <v>Single carriageway</v>
      </c>
      <c r="AA193">
        <v>30</v>
      </c>
      <c r="AB193">
        <v>-1</v>
      </c>
      <c r="AC193">
        <v>19</v>
      </c>
      <c r="AD193">
        <v>4</v>
      </c>
      <c r="AE193">
        <v>6</v>
      </c>
      <c r="AF193">
        <v>0</v>
      </c>
      <c r="AG193">
        <v>-1</v>
      </c>
      <c r="AH193">
        <v>-1</v>
      </c>
      <c r="AI193">
        <v>17</v>
      </c>
      <c r="AJ193">
        <v>4</v>
      </c>
      <c r="AK193" t="str">
        <f>VLOOKUP(AJ193, Lookups!$B$23:$C$28, 2, FALSE)</f>
        <v>Darkness (Lit)</v>
      </c>
      <c r="AL193">
        <v>2</v>
      </c>
      <c r="AM193" t="str">
        <f>VLOOKUP(AL193, Lookups!$B$30:$C$39, 2, FALSE)</f>
        <v>Rain</v>
      </c>
      <c r="AN193">
        <v>2</v>
      </c>
      <c r="AO193" t="str">
        <f>VLOOKUP(AN193, Lookups!$B$41:$C$49, 2, FALSE)</f>
        <v>Wet / damp</v>
      </c>
      <c r="AP193">
        <v>-1</v>
      </c>
      <c r="AQ193">
        <v>-1</v>
      </c>
      <c r="AR193">
        <v>0</v>
      </c>
      <c r="AS193">
        <v>1</v>
      </c>
      <c r="AT193">
        <v>1</v>
      </c>
      <c r="AU193">
        <v>2</v>
      </c>
      <c r="AV193" t="s">
        <v>113</v>
      </c>
      <c r="AW193">
        <v>6</v>
      </c>
      <c r="AX193">
        <v>1</v>
      </c>
      <c r="AY193">
        <v>1</v>
      </c>
      <c r="AZ193">
        <v>0</v>
      </c>
    </row>
    <row r="194" spans="1:52" x14ac:dyDescent="0.35">
      <c r="A194">
        <v>2025221576296</v>
      </c>
      <c r="B194">
        <v>2025</v>
      </c>
      <c r="C194">
        <v>221576296</v>
      </c>
      <c r="D194">
        <v>388842</v>
      </c>
      <c r="E194">
        <v>233735</v>
      </c>
      <c r="F194">
        <v>-2.1639499999999998</v>
      </c>
      <c r="G194">
        <v>52.001939999999998</v>
      </c>
      <c r="H194">
        <v>22</v>
      </c>
      <c r="I194">
        <v>3</v>
      </c>
      <c r="J194" t="str">
        <f>VLOOKUP(I194, Lookups!$B$1:$C$4, 2, FALSE)</f>
        <v>Slight</v>
      </c>
      <c r="K194">
        <v>1</v>
      </c>
      <c r="L194">
        <v>1</v>
      </c>
      <c r="M194" s="1">
        <v>45757</v>
      </c>
      <c r="N194">
        <v>5</v>
      </c>
      <c r="O194" t="str">
        <f>VLOOKUP(N194, Lookups!$B$6:$C$12, 2, FALSE)</f>
        <v>Thursday</v>
      </c>
      <c r="P194" s="2">
        <v>0.57638888888888884</v>
      </c>
      <c r="Q194">
        <v>-1</v>
      </c>
      <c r="R194" t="s">
        <v>49</v>
      </c>
      <c r="S194" t="s">
        <v>45</v>
      </c>
      <c r="T194" t="s">
        <v>45</v>
      </c>
      <c r="U194">
        <v>3</v>
      </c>
      <c r="V194" t="str">
        <f>VLOOKUP(U194, Lookups!$B$51:$C$57, 2, FALSE)</f>
        <v>A</v>
      </c>
      <c r="W194">
        <v>438</v>
      </c>
      <c r="X194" t="str">
        <f>V194&amp;W194</f>
        <v>A438</v>
      </c>
      <c r="Y194">
        <v>6</v>
      </c>
      <c r="Z194" t="str">
        <f>VLOOKUP(Y194, Lookups!$B$14:$C$21, 2, FALSE)</f>
        <v>Single carriageway</v>
      </c>
      <c r="AA194">
        <v>60</v>
      </c>
      <c r="AB194">
        <v>-1</v>
      </c>
      <c r="AC194">
        <v>0</v>
      </c>
      <c r="AD194">
        <v>-1</v>
      </c>
      <c r="AE194">
        <v>0</v>
      </c>
      <c r="AF194">
        <v>-1</v>
      </c>
      <c r="AG194">
        <v>-1</v>
      </c>
      <c r="AH194">
        <v>-1</v>
      </c>
      <c r="AI194">
        <v>0</v>
      </c>
      <c r="AJ194">
        <v>1</v>
      </c>
      <c r="AK194" t="str">
        <f>VLOOKUP(AJ194, Lookups!$B$23:$C$28, 2, FALSE)</f>
        <v>Daylight</v>
      </c>
      <c r="AL194">
        <v>1</v>
      </c>
      <c r="AM194" t="str">
        <f>VLOOKUP(AL194, Lookups!$B$30:$C$39, 2, FALSE)</f>
        <v>Fine / Clear</v>
      </c>
      <c r="AN194">
        <v>1</v>
      </c>
      <c r="AO194" t="str">
        <f>VLOOKUP(AN194, Lookups!$B$41:$C$49, 2, FALSE)</f>
        <v>Dry</v>
      </c>
      <c r="AP194">
        <v>-1</v>
      </c>
      <c r="AQ194">
        <v>-1</v>
      </c>
      <c r="AR194">
        <v>0</v>
      </c>
      <c r="AS194">
        <v>2</v>
      </c>
      <c r="AT194">
        <v>1</v>
      </c>
      <c r="AU194">
        <v>2</v>
      </c>
      <c r="AV194" t="s">
        <v>82</v>
      </c>
      <c r="AW194">
        <v>3</v>
      </c>
      <c r="AX194">
        <v>1</v>
      </c>
      <c r="AY194">
        <v>0</v>
      </c>
      <c r="AZ194">
        <v>1</v>
      </c>
    </row>
    <row r="195" spans="1:52" x14ac:dyDescent="0.35">
      <c r="A195">
        <v>2025221580668</v>
      </c>
      <c r="B195">
        <v>2025</v>
      </c>
      <c r="C195">
        <v>221580668</v>
      </c>
      <c r="D195">
        <v>387454</v>
      </c>
      <c r="E195">
        <v>256644</v>
      </c>
      <c r="F195">
        <v>-2.1850200000000002</v>
      </c>
      <c r="G195">
        <v>52.20787</v>
      </c>
      <c r="H195">
        <v>22</v>
      </c>
      <c r="I195">
        <v>2</v>
      </c>
      <c r="J195" t="str">
        <f>VLOOKUP(I195, Lookups!$B$1:$C$4, 2, FALSE)</f>
        <v>Serious</v>
      </c>
      <c r="K195">
        <v>2</v>
      </c>
      <c r="L195">
        <v>1</v>
      </c>
      <c r="M195" s="1">
        <v>45769</v>
      </c>
      <c r="N195">
        <v>3</v>
      </c>
      <c r="O195" t="str">
        <f>VLOOKUP(N195, Lookups!$B$6:$C$12, 2, FALSE)</f>
        <v>Tuesday</v>
      </c>
      <c r="P195" s="2">
        <v>0.65902777777777777</v>
      </c>
      <c r="Q195">
        <v>-1</v>
      </c>
      <c r="R195" t="s">
        <v>60</v>
      </c>
      <c r="S195" t="s">
        <v>45</v>
      </c>
      <c r="T195" t="s">
        <v>45</v>
      </c>
      <c r="U195">
        <v>6</v>
      </c>
      <c r="V195" t="str">
        <f>VLOOKUP(U195, Lookups!$B$51:$C$57, 2, FALSE)</f>
        <v>Unclassified</v>
      </c>
      <c r="W195">
        <v>0</v>
      </c>
      <c r="X195" t="s">
        <v>362</v>
      </c>
      <c r="Y195">
        <v>6</v>
      </c>
      <c r="Z195" t="str">
        <f>VLOOKUP(Y195, Lookups!$B$14:$C$21, 2, FALSE)</f>
        <v>Single carriageway</v>
      </c>
      <c r="AA195">
        <v>30</v>
      </c>
      <c r="AB195">
        <v>-1</v>
      </c>
      <c r="AC195">
        <v>0</v>
      </c>
      <c r="AD195">
        <v>-1</v>
      </c>
      <c r="AE195">
        <v>6</v>
      </c>
      <c r="AF195">
        <v>0</v>
      </c>
      <c r="AG195">
        <v>-1</v>
      </c>
      <c r="AH195">
        <v>-1</v>
      </c>
      <c r="AI195">
        <v>0</v>
      </c>
      <c r="AJ195">
        <v>1</v>
      </c>
      <c r="AK195" t="str">
        <f>VLOOKUP(AJ195, Lookups!$B$23:$C$28, 2, FALSE)</f>
        <v>Daylight</v>
      </c>
      <c r="AL195">
        <v>1</v>
      </c>
      <c r="AM195" t="str">
        <f>VLOOKUP(AL195, Lookups!$B$30:$C$39, 2, FALSE)</f>
        <v>Fine / Clear</v>
      </c>
      <c r="AN195">
        <v>1</v>
      </c>
      <c r="AO195" t="str">
        <f>VLOOKUP(AN195, Lookups!$B$41:$C$49, 2, FALSE)</f>
        <v>Dry</v>
      </c>
      <c r="AP195">
        <v>-1</v>
      </c>
      <c r="AQ195">
        <v>-1</v>
      </c>
      <c r="AR195">
        <v>0</v>
      </c>
      <c r="AS195">
        <v>1</v>
      </c>
      <c r="AT195">
        <v>1</v>
      </c>
      <c r="AU195">
        <v>2</v>
      </c>
      <c r="AV195" t="s">
        <v>181</v>
      </c>
      <c r="AW195">
        <v>7</v>
      </c>
      <c r="AX195">
        <v>1</v>
      </c>
      <c r="AY195">
        <v>1</v>
      </c>
      <c r="AZ195">
        <v>0</v>
      </c>
    </row>
    <row r="196" spans="1:52" x14ac:dyDescent="0.35">
      <c r="A196">
        <v>2025221646241</v>
      </c>
      <c r="B196">
        <v>2025</v>
      </c>
      <c r="C196">
        <v>221646241</v>
      </c>
      <c r="D196">
        <v>407668</v>
      </c>
      <c r="E196">
        <v>267001</v>
      </c>
      <c r="F196">
        <v>-1.88897</v>
      </c>
      <c r="G196">
        <v>52.301079999999999</v>
      </c>
      <c r="H196">
        <v>22</v>
      </c>
      <c r="I196">
        <v>3</v>
      </c>
      <c r="J196" t="str">
        <f>VLOOKUP(I196, Lookups!$B$1:$C$4, 2, FALSE)</f>
        <v>Slight</v>
      </c>
      <c r="K196">
        <v>2</v>
      </c>
      <c r="L196">
        <v>1</v>
      </c>
      <c r="M196" s="1">
        <v>45922</v>
      </c>
      <c r="N196">
        <v>2</v>
      </c>
      <c r="O196" t="str">
        <f>VLOOKUP(N196, Lookups!$B$6:$C$12, 2, FALSE)</f>
        <v>Monday</v>
      </c>
      <c r="P196" s="2">
        <v>0.33333333333333331</v>
      </c>
      <c r="Q196">
        <v>-1</v>
      </c>
      <c r="R196" t="s">
        <v>69</v>
      </c>
      <c r="S196" t="s">
        <v>45</v>
      </c>
      <c r="T196" t="s">
        <v>45</v>
      </c>
      <c r="U196">
        <v>6</v>
      </c>
      <c r="V196" t="str">
        <f>VLOOKUP(U196, Lookups!$B$51:$C$57, 2, FALSE)</f>
        <v>Unclassified</v>
      </c>
      <c r="W196">
        <v>0</v>
      </c>
      <c r="X196" t="s">
        <v>362</v>
      </c>
      <c r="Y196">
        <v>6</v>
      </c>
      <c r="Z196" t="str">
        <f>VLOOKUP(Y196, Lookups!$B$14:$C$21, 2, FALSE)</f>
        <v>Single carriageway</v>
      </c>
      <c r="AA196">
        <v>30</v>
      </c>
      <c r="AB196">
        <v>-1</v>
      </c>
      <c r="AC196">
        <v>0</v>
      </c>
      <c r="AD196">
        <v>-1</v>
      </c>
      <c r="AE196">
        <v>0</v>
      </c>
      <c r="AF196">
        <v>-1</v>
      </c>
      <c r="AG196">
        <v>-1</v>
      </c>
      <c r="AH196">
        <v>-1</v>
      </c>
      <c r="AI196">
        <v>0</v>
      </c>
      <c r="AJ196">
        <v>1</v>
      </c>
      <c r="AK196" t="str">
        <f>VLOOKUP(AJ196, Lookups!$B$23:$C$28, 2, FALSE)</f>
        <v>Daylight</v>
      </c>
      <c r="AL196">
        <v>1</v>
      </c>
      <c r="AM196" t="str">
        <f>VLOOKUP(AL196, Lookups!$B$30:$C$39, 2, FALSE)</f>
        <v>Fine / Clear</v>
      </c>
      <c r="AN196">
        <v>1</v>
      </c>
      <c r="AO196" t="str">
        <f>VLOOKUP(AN196, Lookups!$B$41:$C$49, 2, FALSE)</f>
        <v>Dry</v>
      </c>
      <c r="AP196">
        <v>-1</v>
      </c>
      <c r="AQ196">
        <v>-1</v>
      </c>
      <c r="AR196">
        <v>0</v>
      </c>
      <c r="AS196">
        <v>1</v>
      </c>
      <c r="AT196">
        <v>1</v>
      </c>
      <c r="AU196">
        <v>2</v>
      </c>
      <c r="AV196" t="s">
        <v>182</v>
      </c>
      <c r="AW196">
        <v>3</v>
      </c>
      <c r="AX196">
        <v>1</v>
      </c>
      <c r="AY196">
        <v>0</v>
      </c>
      <c r="AZ196">
        <v>1</v>
      </c>
    </row>
    <row r="197" spans="1:52" x14ac:dyDescent="0.35">
      <c r="A197">
        <v>2025221659078</v>
      </c>
      <c r="B197">
        <v>2025</v>
      </c>
      <c r="C197">
        <v>221659078</v>
      </c>
      <c r="D197">
        <v>396969</v>
      </c>
      <c r="E197">
        <v>275682</v>
      </c>
      <c r="F197">
        <v>-2.0459499999999999</v>
      </c>
      <c r="G197">
        <v>52.379170000000002</v>
      </c>
      <c r="H197">
        <v>22</v>
      </c>
      <c r="I197">
        <v>3</v>
      </c>
      <c r="J197" t="str">
        <f>VLOOKUP(I197, Lookups!$B$1:$C$4, 2, FALSE)</f>
        <v>Slight</v>
      </c>
      <c r="K197">
        <v>2</v>
      </c>
      <c r="L197">
        <v>1</v>
      </c>
      <c r="M197" s="1">
        <v>45955</v>
      </c>
      <c r="N197">
        <v>7</v>
      </c>
      <c r="O197" t="str">
        <f>VLOOKUP(N197, Lookups!$B$6:$C$12, 2, FALSE)</f>
        <v>Saturday</v>
      </c>
      <c r="P197" s="2">
        <v>0.40972222222222221</v>
      </c>
      <c r="Q197">
        <v>-1</v>
      </c>
      <c r="R197" t="s">
        <v>47</v>
      </c>
      <c r="S197" t="s">
        <v>45</v>
      </c>
      <c r="T197" t="s">
        <v>45</v>
      </c>
      <c r="U197">
        <v>1</v>
      </c>
      <c r="V197" t="str">
        <f>VLOOKUP(U197, Lookups!$B$51:$C$57, 2, FALSE)</f>
        <v>M</v>
      </c>
      <c r="W197">
        <v>5</v>
      </c>
      <c r="X197" t="str">
        <f>V197&amp;W197</f>
        <v>M5</v>
      </c>
      <c r="Y197">
        <v>7</v>
      </c>
      <c r="Z197" t="str">
        <f>VLOOKUP(Y197, Lookups!$B$14:$C$21, 2, FALSE)</f>
        <v>Slip road</v>
      </c>
      <c r="AA197">
        <v>60</v>
      </c>
      <c r="AB197">
        <v>-1</v>
      </c>
      <c r="AC197">
        <v>-1</v>
      </c>
      <c r="AD197">
        <v>2</v>
      </c>
      <c r="AE197">
        <v>3</v>
      </c>
      <c r="AF197">
        <v>38</v>
      </c>
      <c r="AG197">
        <v>-1</v>
      </c>
      <c r="AH197">
        <v>-1</v>
      </c>
      <c r="AI197">
        <v>0</v>
      </c>
      <c r="AJ197">
        <v>1</v>
      </c>
      <c r="AK197" t="str">
        <f>VLOOKUP(AJ197, Lookups!$B$23:$C$28, 2, FALSE)</f>
        <v>Daylight</v>
      </c>
      <c r="AL197">
        <v>1</v>
      </c>
      <c r="AM197" t="str">
        <f>VLOOKUP(AL197, Lookups!$B$30:$C$39, 2, FALSE)</f>
        <v>Fine / Clear</v>
      </c>
      <c r="AN197">
        <v>1</v>
      </c>
      <c r="AO197" t="str">
        <f>VLOOKUP(AN197, Lookups!$B$41:$C$49, 2, FALSE)</f>
        <v>Dry</v>
      </c>
      <c r="AP197">
        <v>-1</v>
      </c>
      <c r="AQ197">
        <v>-1</v>
      </c>
      <c r="AR197">
        <v>0</v>
      </c>
      <c r="AS197">
        <v>2</v>
      </c>
      <c r="AT197">
        <v>1</v>
      </c>
      <c r="AU197">
        <v>1</v>
      </c>
      <c r="AV197" t="s">
        <v>146</v>
      </c>
      <c r="AW197">
        <v>3</v>
      </c>
      <c r="AX197">
        <v>1</v>
      </c>
      <c r="AY197">
        <v>0</v>
      </c>
      <c r="AZ197">
        <v>1</v>
      </c>
    </row>
    <row r="198" spans="1:52" x14ac:dyDescent="0.35">
      <c r="A198">
        <v>2025221662054</v>
      </c>
      <c r="B198">
        <v>2025</v>
      </c>
      <c r="C198">
        <v>221662054</v>
      </c>
      <c r="D198">
        <v>399148</v>
      </c>
      <c r="E198">
        <v>280105</v>
      </c>
      <c r="F198">
        <v>-2.0139499999999999</v>
      </c>
      <c r="G198">
        <v>52.418939999999999</v>
      </c>
      <c r="H198">
        <v>22</v>
      </c>
      <c r="I198">
        <v>3</v>
      </c>
      <c r="J198" t="str">
        <f>VLOOKUP(I198, Lookups!$B$1:$C$4, 2, FALSE)</f>
        <v>Slight</v>
      </c>
      <c r="K198">
        <v>2</v>
      </c>
      <c r="L198">
        <v>4</v>
      </c>
      <c r="M198" s="1">
        <v>45961</v>
      </c>
      <c r="N198">
        <v>6</v>
      </c>
      <c r="O198" t="str">
        <f>VLOOKUP(N198, Lookups!$B$6:$C$12, 2, FALSE)</f>
        <v>Friday</v>
      </c>
      <c r="P198" s="2">
        <v>0.94027777777777777</v>
      </c>
      <c r="Q198">
        <v>-1</v>
      </c>
      <c r="R198" t="s">
        <v>47</v>
      </c>
      <c r="S198" t="s">
        <v>45</v>
      </c>
      <c r="T198" t="s">
        <v>45</v>
      </c>
      <c r="U198">
        <v>6</v>
      </c>
      <c r="V198" t="str">
        <f>VLOOKUP(U198, Lookups!$B$51:$C$57, 2, FALSE)</f>
        <v>Unclassified</v>
      </c>
      <c r="W198">
        <v>0</v>
      </c>
      <c r="X198" t="s">
        <v>362</v>
      </c>
      <c r="Y198">
        <v>6</v>
      </c>
      <c r="Z198" t="str">
        <f>VLOOKUP(Y198, Lookups!$B$14:$C$21, 2, FALSE)</f>
        <v>Single carriageway</v>
      </c>
      <c r="AA198">
        <v>40</v>
      </c>
      <c r="AB198">
        <v>-1</v>
      </c>
      <c r="AC198">
        <v>0</v>
      </c>
      <c r="AD198">
        <v>-1</v>
      </c>
      <c r="AE198">
        <v>6</v>
      </c>
      <c r="AF198">
        <v>0</v>
      </c>
      <c r="AG198">
        <v>-1</v>
      </c>
      <c r="AH198">
        <v>-1</v>
      </c>
      <c r="AI198">
        <v>0</v>
      </c>
      <c r="AJ198">
        <v>6</v>
      </c>
      <c r="AK198" t="str">
        <f>VLOOKUP(AJ198, Lookups!$B$23:$C$28, 2, FALSE)</f>
        <v>Darkness (Unlit)</v>
      </c>
      <c r="AL198">
        <v>2</v>
      </c>
      <c r="AM198" t="str">
        <f>VLOOKUP(AL198, Lookups!$B$30:$C$39, 2, FALSE)</f>
        <v>Rain</v>
      </c>
      <c r="AN198">
        <v>2</v>
      </c>
      <c r="AO198" t="str">
        <f>VLOOKUP(AN198, Lookups!$B$41:$C$49, 2, FALSE)</f>
        <v>Wet / damp</v>
      </c>
      <c r="AP198">
        <v>-1</v>
      </c>
      <c r="AQ198">
        <v>-1</v>
      </c>
      <c r="AR198">
        <v>0</v>
      </c>
      <c r="AS198">
        <v>2</v>
      </c>
      <c r="AT198">
        <v>1</v>
      </c>
      <c r="AU198">
        <v>2</v>
      </c>
      <c r="AV198" t="s">
        <v>149</v>
      </c>
      <c r="AW198">
        <v>3</v>
      </c>
      <c r="AX198">
        <v>1</v>
      </c>
      <c r="AY198">
        <v>0</v>
      </c>
      <c r="AZ198">
        <v>1</v>
      </c>
    </row>
    <row r="199" spans="1:52" x14ac:dyDescent="0.35">
      <c r="A199">
        <v>2025221588265</v>
      </c>
      <c r="B199">
        <v>2025</v>
      </c>
      <c r="C199">
        <v>221588265</v>
      </c>
      <c r="D199">
        <v>382414</v>
      </c>
      <c r="E199">
        <v>251080</v>
      </c>
      <c r="F199">
        <v>-2.25848</v>
      </c>
      <c r="G199">
        <v>52.157710000000002</v>
      </c>
      <c r="H199">
        <v>22</v>
      </c>
      <c r="I199">
        <v>3</v>
      </c>
      <c r="J199" t="str">
        <f>VLOOKUP(I199, Lookups!$B$1:$C$4, 2, FALSE)</f>
        <v>Slight</v>
      </c>
      <c r="K199">
        <v>3</v>
      </c>
      <c r="L199">
        <v>1</v>
      </c>
      <c r="M199" s="1">
        <v>45787</v>
      </c>
      <c r="N199">
        <v>7</v>
      </c>
      <c r="O199" t="str">
        <f>VLOOKUP(N199, Lookups!$B$6:$C$12, 2, FALSE)</f>
        <v>Saturday</v>
      </c>
      <c r="P199" s="2">
        <v>0.75</v>
      </c>
      <c r="Q199">
        <v>-1</v>
      </c>
      <c r="R199" t="s">
        <v>49</v>
      </c>
      <c r="S199" t="s">
        <v>45</v>
      </c>
      <c r="T199" t="s">
        <v>45</v>
      </c>
      <c r="U199">
        <v>3</v>
      </c>
      <c r="V199" t="str">
        <f>VLOOKUP(U199, Lookups!$B$51:$C$57, 2, FALSE)</f>
        <v>A</v>
      </c>
      <c r="W199">
        <v>449</v>
      </c>
      <c r="X199" t="str">
        <f t="shared" ref="X199:X201" si="28">V199&amp;W199</f>
        <v>A449</v>
      </c>
      <c r="Y199">
        <v>6</v>
      </c>
      <c r="Z199" t="str">
        <f>VLOOKUP(Y199, Lookups!$B$14:$C$21, 2, FALSE)</f>
        <v>Single carriageway</v>
      </c>
      <c r="AA199">
        <v>40</v>
      </c>
      <c r="AB199">
        <v>-1</v>
      </c>
      <c r="AC199">
        <v>0</v>
      </c>
      <c r="AD199">
        <v>-1</v>
      </c>
      <c r="AE199">
        <v>6</v>
      </c>
      <c r="AF199">
        <v>0</v>
      </c>
      <c r="AG199">
        <v>-1</v>
      </c>
      <c r="AH199">
        <v>-1</v>
      </c>
      <c r="AI199">
        <v>0</v>
      </c>
      <c r="AJ199">
        <v>1</v>
      </c>
      <c r="AK199" t="str">
        <f>VLOOKUP(AJ199, Lookups!$B$23:$C$28, 2, FALSE)</f>
        <v>Daylight</v>
      </c>
      <c r="AL199">
        <v>1</v>
      </c>
      <c r="AM199" t="str">
        <f>VLOOKUP(AL199, Lookups!$B$30:$C$39, 2, FALSE)</f>
        <v>Fine / Clear</v>
      </c>
      <c r="AN199">
        <v>1</v>
      </c>
      <c r="AO199" t="str">
        <f>VLOOKUP(AN199, Lookups!$B$41:$C$49, 2, FALSE)</f>
        <v>Dry</v>
      </c>
      <c r="AP199">
        <v>-1</v>
      </c>
      <c r="AQ199">
        <v>-1</v>
      </c>
      <c r="AR199">
        <v>0</v>
      </c>
      <c r="AS199">
        <v>2</v>
      </c>
      <c r="AT199">
        <v>1</v>
      </c>
      <c r="AU199">
        <v>2</v>
      </c>
      <c r="AV199" t="s">
        <v>65</v>
      </c>
      <c r="AW199">
        <v>3</v>
      </c>
      <c r="AX199">
        <v>1</v>
      </c>
      <c r="AY199">
        <v>0</v>
      </c>
      <c r="AZ199">
        <v>1</v>
      </c>
    </row>
    <row r="200" spans="1:52" x14ac:dyDescent="0.35">
      <c r="A200">
        <v>2025221605193</v>
      </c>
      <c r="B200">
        <v>2025</v>
      </c>
      <c r="C200">
        <v>221605193</v>
      </c>
      <c r="D200">
        <v>407760</v>
      </c>
      <c r="E200">
        <v>278439</v>
      </c>
      <c r="F200">
        <v>-1.8873599999999999</v>
      </c>
      <c r="G200">
        <v>52.403910000000003</v>
      </c>
      <c r="H200">
        <v>22</v>
      </c>
      <c r="I200">
        <v>3</v>
      </c>
      <c r="J200" t="str">
        <f>VLOOKUP(I200, Lookups!$B$1:$C$4, 2, FALSE)</f>
        <v>Slight</v>
      </c>
      <c r="K200">
        <v>2</v>
      </c>
      <c r="L200">
        <v>1</v>
      </c>
      <c r="M200" s="1">
        <v>45827</v>
      </c>
      <c r="N200">
        <v>5</v>
      </c>
      <c r="O200" t="str">
        <f>VLOOKUP(N200, Lookups!$B$6:$C$12, 2, FALSE)</f>
        <v>Thursday</v>
      </c>
      <c r="P200" s="2">
        <v>0.77777777777777779</v>
      </c>
      <c r="Q200">
        <v>-1</v>
      </c>
      <c r="R200" t="s">
        <v>47</v>
      </c>
      <c r="S200" t="s">
        <v>45</v>
      </c>
      <c r="T200" t="s">
        <v>45</v>
      </c>
      <c r="U200">
        <v>3</v>
      </c>
      <c r="V200" t="str">
        <f>VLOOKUP(U200, Lookups!$B$51:$C$57, 2, FALSE)</f>
        <v>A</v>
      </c>
      <c r="W200">
        <v>435</v>
      </c>
      <c r="X200" t="str">
        <f t="shared" si="28"/>
        <v>A435</v>
      </c>
      <c r="Y200">
        <v>3</v>
      </c>
      <c r="Z200" t="str">
        <f>VLOOKUP(Y200, Lookups!$B$14:$C$21, 2, FALSE)</f>
        <v>Dual carriageway</v>
      </c>
      <c r="AA200">
        <v>70</v>
      </c>
      <c r="AB200">
        <v>-1</v>
      </c>
      <c r="AC200">
        <v>0</v>
      </c>
      <c r="AD200">
        <v>-1</v>
      </c>
      <c r="AE200">
        <v>3</v>
      </c>
      <c r="AF200">
        <v>435</v>
      </c>
      <c r="AG200">
        <v>-1</v>
      </c>
      <c r="AH200">
        <v>-1</v>
      </c>
      <c r="AI200">
        <v>0</v>
      </c>
      <c r="AJ200">
        <v>1</v>
      </c>
      <c r="AK200" t="str">
        <f>VLOOKUP(AJ200, Lookups!$B$23:$C$28, 2, FALSE)</f>
        <v>Daylight</v>
      </c>
      <c r="AL200">
        <v>1</v>
      </c>
      <c r="AM200" t="str">
        <f>VLOOKUP(AL200, Lookups!$B$30:$C$39, 2, FALSE)</f>
        <v>Fine / Clear</v>
      </c>
      <c r="AN200">
        <v>1</v>
      </c>
      <c r="AO200" t="str">
        <f>VLOOKUP(AN200, Lookups!$B$41:$C$49, 2, FALSE)</f>
        <v>Dry</v>
      </c>
      <c r="AP200">
        <v>-1</v>
      </c>
      <c r="AQ200">
        <v>-1</v>
      </c>
      <c r="AR200">
        <v>0</v>
      </c>
      <c r="AS200">
        <v>2</v>
      </c>
      <c r="AT200">
        <v>3</v>
      </c>
      <c r="AU200">
        <v>2</v>
      </c>
      <c r="AV200" t="s">
        <v>128</v>
      </c>
      <c r="AW200">
        <v>3</v>
      </c>
      <c r="AX200">
        <v>1</v>
      </c>
      <c r="AY200">
        <v>0</v>
      </c>
      <c r="AZ200">
        <v>1</v>
      </c>
    </row>
    <row r="201" spans="1:52" x14ac:dyDescent="0.35">
      <c r="A201">
        <v>2025221648792</v>
      </c>
      <c r="B201">
        <v>2025</v>
      </c>
      <c r="C201">
        <v>221648792</v>
      </c>
      <c r="D201">
        <v>403542</v>
      </c>
      <c r="E201">
        <v>273827</v>
      </c>
      <c r="F201">
        <v>-1.9494100000000001</v>
      </c>
      <c r="G201">
        <v>52.362490000000001</v>
      </c>
      <c r="H201">
        <v>22</v>
      </c>
      <c r="I201">
        <v>3</v>
      </c>
      <c r="J201" t="str">
        <f>VLOOKUP(I201, Lookups!$B$1:$C$4, 2, FALSE)</f>
        <v>Slight</v>
      </c>
      <c r="K201">
        <v>2</v>
      </c>
      <c r="L201">
        <v>1</v>
      </c>
      <c r="M201" s="1">
        <v>45927</v>
      </c>
      <c r="N201">
        <v>7</v>
      </c>
      <c r="O201" t="str">
        <f>VLOOKUP(N201, Lookups!$B$6:$C$12, 2, FALSE)</f>
        <v>Saturday</v>
      </c>
      <c r="P201" s="2">
        <v>0.44583333333333336</v>
      </c>
      <c r="Q201">
        <v>-1</v>
      </c>
      <c r="R201" t="s">
        <v>47</v>
      </c>
      <c r="S201" t="s">
        <v>45</v>
      </c>
      <c r="T201" t="s">
        <v>45</v>
      </c>
      <c r="U201">
        <v>3</v>
      </c>
      <c r="V201" t="str">
        <f>VLOOKUP(U201, Lookups!$B$51:$C$57, 2, FALSE)</f>
        <v>A</v>
      </c>
      <c r="W201">
        <v>441</v>
      </c>
      <c r="X201" t="str">
        <f t="shared" si="28"/>
        <v>A441</v>
      </c>
      <c r="Y201">
        <v>1</v>
      </c>
      <c r="Z201" t="str">
        <f>VLOOKUP(Y201, Lookups!$B$14:$C$21, 2, FALSE)</f>
        <v>Roundabout</v>
      </c>
      <c r="AA201">
        <v>60</v>
      </c>
      <c r="AB201">
        <v>-1</v>
      </c>
      <c r="AC201">
        <v>-1</v>
      </c>
      <c r="AD201">
        <v>4</v>
      </c>
      <c r="AE201">
        <v>1</v>
      </c>
      <c r="AF201">
        <v>42</v>
      </c>
      <c r="AG201">
        <v>-1</v>
      </c>
      <c r="AH201">
        <v>-1</v>
      </c>
      <c r="AI201">
        <v>0</v>
      </c>
      <c r="AJ201">
        <v>1</v>
      </c>
      <c r="AK201" t="str">
        <f>VLOOKUP(AJ201, Lookups!$B$23:$C$28, 2, FALSE)</f>
        <v>Daylight</v>
      </c>
      <c r="AL201">
        <v>1</v>
      </c>
      <c r="AM201" t="str">
        <f>VLOOKUP(AL201, Lookups!$B$30:$C$39, 2, FALSE)</f>
        <v>Fine / Clear</v>
      </c>
      <c r="AN201">
        <v>1</v>
      </c>
      <c r="AO201" t="str">
        <f>VLOOKUP(AN201, Lookups!$B$41:$C$49, 2, FALSE)</f>
        <v>Dry</v>
      </c>
      <c r="AP201">
        <v>-1</v>
      </c>
      <c r="AQ201">
        <v>-1</v>
      </c>
      <c r="AR201">
        <v>0</v>
      </c>
      <c r="AS201">
        <v>2</v>
      </c>
      <c r="AT201">
        <v>1</v>
      </c>
      <c r="AU201">
        <v>2</v>
      </c>
      <c r="AV201" t="s">
        <v>77</v>
      </c>
      <c r="AW201">
        <v>3</v>
      </c>
      <c r="AX201">
        <v>1</v>
      </c>
      <c r="AY201">
        <v>0</v>
      </c>
      <c r="AZ201">
        <v>1</v>
      </c>
    </row>
    <row r="202" spans="1:52" x14ac:dyDescent="0.35">
      <c r="A202">
        <v>2025221610387</v>
      </c>
      <c r="B202">
        <v>2025</v>
      </c>
      <c r="C202">
        <v>221610387</v>
      </c>
      <c r="D202">
        <v>408206</v>
      </c>
      <c r="E202">
        <v>244609</v>
      </c>
      <c r="F202">
        <v>-1.8816200000000001</v>
      </c>
      <c r="G202">
        <v>52.099760000000003</v>
      </c>
      <c r="H202">
        <v>22</v>
      </c>
      <c r="I202">
        <v>2</v>
      </c>
      <c r="J202" t="str">
        <f>VLOOKUP(I202, Lookups!$B$1:$C$4, 2, FALSE)</f>
        <v>Serious</v>
      </c>
      <c r="K202">
        <v>1</v>
      </c>
      <c r="L202">
        <v>1</v>
      </c>
      <c r="M202" s="1">
        <v>45825</v>
      </c>
      <c r="N202">
        <v>3</v>
      </c>
      <c r="O202" t="str">
        <f>VLOOKUP(N202, Lookups!$B$6:$C$12, 2, FALSE)</f>
        <v>Tuesday</v>
      </c>
      <c r="P202" s="2">
        <v>0.94444444444444442</v>
      </c>
      <c r="Q202">
        <v>-1</v>
      </c>
      <c r="R202" t="s">
        <v>54</v>
      </c>
      <c r="S202" t="s">
        <v>45</v>
      </c>
      <c r="T202" t="s">
        <v>45</v>
      </c>
      <c r="U202">
        <v>6</v>
      </c>
      <c r="V202" t="str">
        <f>VLOOKUP(U202, Lookups!$B$51:$C$57, 2, FALSE)</f>
        <v>Unclassified</v>
      </c>
      <c r="W202">
        <v>0</v>
      </c>
      <c r="X202" t="s">
        <v>362</v>
      </c>
      <c r="Y202">
        <v>6</v>
      </c>
      <c r="Z202" t="str">
        <f>VLOOKUP(Y202, Lookups!$B$14:$C$21, 2, FALSE)</f>
        <v>Single carriageway</v>
      </c>
      <c r="AA202">
        <v>60</v>
      </c>
      <c r="AB202">
        <v>-1</v>
      </c>
      <c r="AC202">
        <v>0</v>
      </c>
      <c r="AD202">
        <v>-1</v>
      </c>
      <c r="AE202">
        <v>0</v>
      </c>
      <c r="AF202">
        <v>-1</v>
      </c>
      <c r="AG202">
        <v>-1</v>
      </c>
      <c r="AH202">
        <v>-1</v>
      </c>
      <c r="AI202">
        <v>0</v>
      </c>
      <c r="AJ202">
        <v>6</v>
      </c>
      <c r="AK202" t="str">
        <f>VLOOKUP(AJ202, Lookups!$B$23:$C$28, 2, FALSE)</f>
        <v>Darkness (Unlit)</v>
      </c>
      <c r="AL202">
        <v>1</v>
      </c>
      <c r="AM202" t="str">
        <f>VLOOKUP(AL202, Lookups!$B$30:$C$39, 2, FALSE)</f>
        <v>Fine / Clear</v>
      </c>
      <c r="AN202">
        <v>1</v>
      </c>
      <c r="AO202" t="str">
        <f>VLOOKUP(AN202, Lookups!$B$41:$C$49, 2, FALSE)</f>
        <v>Dry</v>
      </c>
      <c r="AP202">
        <v>-1</v>
      </c>
      <c r="AQ202">
        <v>-1</v>
      </c>
      <c r="AR202">
        <v>0</v>
      </c>
      <c r="AS202">
        <v>2</v>
      </c>
      <c r="AT202">
        <v>1</v>
      </c>
      <c r="AU202">
        <v>2</v>
      </c>
      <c r="AV202" t="s">
        <v>183</v>
      </c>
      <c r="AW202">
        <v>5</v>
      </c>
      <c r="AX202">
        <v>1</v>
      </c>
      <c r="AY202">
        <v>1</v>
      </c>
      <c r="AZ202">
        <v>0</v>
      </c>
    </row>
    <row r="203" spans="1:52" x14ac:dyDescent="0.35">
      <c r="A203">
        <v>2025221627724</v>
      </c>
      <c r="B203">
        <v>2025</v>
      </c>
      <c r="C203">
        <v>221627724</v>
      </c>
      <c r="D203">
        <v>404182</v>
      </c>
      <c r="E203">
        <v>246453</v>
      </c>
      <c r="F203">
        <v>-1.94034</v>
      </c>
      <c r="G203">
        <v>52.116379999999999</v>
      </c>
      <c r="H203">
        <v>22</v>
      </c>
      <c r="I203">
        <v>3</v>
      </c>
      <c r="J203" t="str">
        <f>VLOOKUP(I203, Lookups!$B$1:$C$4, 2, FALSE)</f>
        <v>Slight</v>
      </c>
      <c r="K203">
        <v>3</v>
      </c>
      <c r="L203">
        <v>1</v>
      </c>
      <c r="M203" s="1">
        <v>45880</v>
      </c>
      <c r="N203">
        <v>2</v>
      </c>
      <c r="O203" t="str">
        <f>VLOOKUP(N203, Lookups!$B$6:$C$12, 2, FALSE)</f>
        <v>Monday</v>
      </c>
      <c r="P203" s="2">
        <v>0.49930555555555556</v>
      </c>
      <c r="Q203">
        <v>-1</v>
      </c>
      <c r="R203" t="s">
        <v>54</v>
      </c>
      <c r="S203" t="s">
        <v>45</v>
      </c>
      <c r="T203" t="s">
        <v>45</v>
      </c>
      <c r="U203">
        <v>3</v>
      </c>
      <c r="V203" t="str">
        <f>VLOOKUP(U203, Lookups!$B$51:$C$57, 2, FALSE)</f>
        <v>A</v>
      </c>
      <c r="W203">
        <v>46</v>
      </c>
      <c r="X203" t="str">
        <f t="shared" ref="X203:X204" si="29">V203&amp;W203</f>
        <v>A46</v>
      </c>
      <c r="Y203">
        <v>3</v>
      </c>
      <c r="Z203" t="str">
        <f>VLOOKUP(Y203, Lookups!$B$14:$C$21, 2, FALSE)</f>
        <v>Dual carriageway</v>
      </c>
      <c r="AA203">
        <v>70</v>
      </c>
      <c r="AB203">
        <v>-1</v>
      </c>
      <c r="AC203">
        <v>0</v>
      </c>
      <c r="AD203">
        <v>-1</v>
      </c>
      <c r="AE203">
        <v>0</v>
      </c>
      <c r="AF203">
        <v>-1</v>
      </c>
      <c r="AG203">
        <v>-1</v>
      </c>
      <c r="AH203">
        <v>-1</v>
      </c>
      <c r="AI203">
        <v>0</v>
      </c>
      <c r="AJ203">
        <v>1</v>
      </c>
      <c r="AK203" t="str">
        <f>VLOOKUP(AJ203, Lookups!$B$23:$C$28, 2, FALSE)</f>
        <v>Daylight</v>
      </c>
      <c r="AL203">
        <v>1</v>
      </c>
      <c r="AM203" t="str">
        <f>VLOOKUP(AL203, Lookups!$B$30:$C$39, 2, FALSE)</f>
        <v>Fine / Clear</v>
      </c>
      <c r="AN203">
        <v>1</v>
      </c>
      <c r="AO203" t="str">
        <f>VLOOKUP(AN203, Lookups!$B$41:$C$49, 2, FALSE)</f>
        <v>Dry</v>
      </c>
      <c r="AP203">
        <v>-1</v>
      </c>
      <c r="AQ203">
        <v>-1</v>
      </c>
      <c r="AR203">
        <v>0</v>
      </c>
      <c r="AS203">
        <v>2</v>
      </c>
      <c r="AT203">
        <v>1</v>
      </c>
      <c r="AU203">
        <v>1</v>
      </c>
      <c r="AV203" t="s">
        <v>58</v>
      </c>
      <c r="AW203">
        <v>3</v>
      </c>
      <c r="AX203">
        <v>1</v>
      </c>
      <c r="AY203">
        <v>0</v>
      </c>
      <c r="AZ203">
        <v>1</v>
      </c>
    </row>
    <row r="204" spans="1:52" x14ac:dyDescent="0.35">
      <c r="A204">
        <v>2025221661158</v>
      </c>
      <c r="B204">
        <v>2025</v>
      </c>
      <c r="C204">
        <v>221661158</v>
      </c>
      <c r="D204">
        <v>382846</v>
      </c>
      <c r="E204">
        <v>276787</v>
      </c>
      <c r="F204">
        <v>-2.2534800000000001</v>
      </c>
      <c r="G204">
        <v>52.388840000000002</v>
      </c>
      <c r="H204">
        <v>22</v>
      </c>
      <c r="I204">
        <v>3</v>
      </c>
      <c r="J204" t="str">
        <f>VLOOKUP(I204, Lookups!$B$1:$C$4, 2, FALSE)</f>
        <v>Slight</v>
      </c>
      <c r="K204">
        <v>5</v>
      </c>
      <c r="L204">
        <v>3</v>
      </c>
      <c r="M204" s="1">
        <v>45959</v>
      </c>
      <c r="N204">
        <v>4</v>
      </c>
      <c r="O204" t="str">
        <f>VLOOKUP(N204, Lookups!$B$6:$C$12, 2, FALSE)</f>
        <v>Wednesday</v>
      </c>
      <c r="P204" s="2">
        <v>0.61805555555555558</v>
      </c>
      <c r="Q204">
        <v>-1</v>
      </c>
      <c r="R204" t="s">
        <v>44</v>
      </c>
      <c r="S204" t="s">
        <v>45</v>
      </c>
      <c r="T204" t="s">
        <v>45</v>
      </c>
      <c r="U204">
        <v>3</v>
      </c>
      <c r="V204" t="str">
        <f>VLOOKUP(U204, Lookups!$B$51:$C$57, 2, FALSE)</f>
        <v>A</v>
      </c>
      <c r="W204">
        <v>456</v>
      </c>
      <c r="X204" t="str">
        <f t="shared" si="29"/>
        <v>A456</v>
      </c>
      <c r="Y204">
        <v>3</v>
      </c>
      <c r="Z204" t="str">
        <f>VLOOKUP(Y204, Lookups!$B$14:$C$21, 2, FALSE)</f>
        <v>Dual carriageway</v>
      </c>
      <c r="AA204">
        <v>40</v>
      </c>
      <c r="AB204">
        <v>-1</v>
      </c>
      <c r="AC204">
        <v>0</v>
      </c>
      <c r="AD204">
        <v>-1</v>
      </c>
      <c r="AE204">
        <v>0</v>
      </c>
      <c r="AF204">
        <v>-1</v>
      </c>
      <c r="AG204">
        <v>-1</v>
      </c>
      <c r="AH204">
        <v>-1</v>
      </c>
      <c r="AI204">
        <v>0</v>
      </c>
      <c r="AJ204">
        <v>1</v>
      </c>
      <c r="AK204" t="str">
        <f>VLOOKUP(AJ204, Lookups!$B$23:$C$28, 2, FALSE)</f>
        <v>Daylight</v>
      </c>
      <c r="AL204">
        <v>1</v>
      </c>
      <c r="AM204" t="str">
        <f>VLOOKUP(AL204, Lookups!$B$30:$C$39, 2, FALSE)</f>
        <v>Fine / Clear</v>
      </c>
      <c r="AN204">
        <v>1</v>
      </c>
      <c r="AO204" t="str">
        <f>VLOOKUP(AN204, Lookups!$B$41:$C$49, 2, FALSE)</f>
        <v>Dry</v>
      </c>
      <c r="AP204">
        <v>-1</v>
      </c>
      <c r="AQ204">
        <v>-1</v>
      </c>
      <c r="AR204">
        <v>0</v>
      </c>
      <c r="AS204">
        <v>1</v>
      </c>
      <c r="AT204">
        <v>1</v>
      </c>
      <c r="AU204">
        <v>2</v>
      </c>
      <c r="AV204" t="s">
        <v>105</v>
      </c>
      <c r="AW204">
        <v>3</v>
      </c>
      <c r="AX204">
        <v>1</v>
      </c>
      <c r="AY204">
        <v>0</v>
      </c>
      <c r="AZ204">
        <v>1</v>
      </c>
    </row>
    <row r="205" spans="1:52" x14ac:dyDescent="0.35">
      <c r="A205">
        <v>2025221550144</v>
      </c>
      <c r="B205">
        <v>2025</v>
      </c>
      <c r="C205">
        <v>221550144</v>
      </c>
      <c r="D205">
        <v>400744</v>
      </c>
      <c r="E205">
        <v>273627</v>
      </c>
      <c r="F205">
        <v>-1.9904999999999999</v>
      </c>
      <c r="G205">
        <v>52.360700000000001</v>
      </c>
      <c r="H205">
        <v>22</v>
      </c>
      <c r="I205">
        <v>3</v>
      </c>
      <c r="J205" t="str">
        <f>VLOOKUP(I205, Lookups!$B$1:$C$4, 2, FALSE)</f>
        <v>Slight</v>
      </c>
      <c r="K205">
        <v>1</v>
      </c>
      <c r="L205">
        <v>1</v>
      </c>
      <c r="M205" s="1">
        <v>45685</v>
      </c>
      <c r="N205">
        <v>3</v>
      </c>
      <c r="O205" t="str">
        <f>VLOOKUP(N205, Lookups!$B$6:$C$12, 2, FALSE)</f>
        <v>Tuesday</v>
      </c>
      <c r="P205" s="2">
        <v>0.625</v>
      </c>
      <c r="Q205">
        <v>-1</v>
      </c>
      <c r="R205" t="s">
        <v>47</v>
      </c>
      <c r="S205" t="s">
        <v>45</v>
      </c>
      <c r="T205" t="s">
        <v>45</v>
      </c>
      <c r="U205">
        <v>6</v>
      </c>
      <c r="V205" t="str">
        <f>VLOOKUP(U205, Lookups!$B$51:$C$57, 2, FALSE)</f>
        <v>Unclassified</v>
      </c>
      <c r="W205">
        <v>0</v>
      </c>
      <c r="X205" t="s">
        <v>362</v>
      </c>
      <c r="Y205">
        <v>6</v>
      </c>
      <c r="Z205" t="str">
        <f>VLOOKUP(Y205, Lookups!$B$14:$C$21, 2, FALSE)</f>
        <v>Single carriageway</v>
      </c>
      <c r="AA205">
        <v>30</v>
      </c>
      <c r="AB205">
        <v>-1</v>
      </c>
      <c r="AC205">
        <v>13</v>
      </c>
      <c r="AD205">
        <v>4</v>
      </c>
      <c r="AE205">
        <v>6</v>
      </c>
      <c r="AF205">
        <v>0</v>
      </c>
      <c r="AG205">
        <v>-1</v>
      </c>
      <c r="AH205">
        <v>-1</v>
      </c>
      <c r="AI205">
        <v>0</v>
      </c>
      <c r="AJ205">
        <v>1</v>
      </c>
      <c r="AK205" t="str">
        <f>VLOOKUP(AJ205, Lookups!$B$23:$C$28, 2, FALSE)</f>
        <v>Daylight</v>
      </c>
      <c r="AL205">
        <v>1</v>
      </c>
      <c r="AM205" t="str">
        <f>VLOOKUP(AL205, Lookups!$B$30:$C$39, 2, FALSE)</f>
        <v>Fine / Clear</v>
      </c>
      <c r="AN205">
        <v>1</v>
      </c>
      <c r="AO205" t="str">
        <f>VLOOKUP(AN205, Lookups!$B$41:$C$49, 2, FALSE)</f>
        <v>Dry</v>
      </c>
      <c r="AP205">
        <v>-1</v>
      </c>
      <c r="AQ205">
        <v>-1</v>
      </c>
      <c r="AR205">
        <v>0</v>
      </c>
      <c r="AS205">
        <v>1</v>
      </c>
      <c r="AT205">
        <v>2</v>
      </c>
      <c r="AU205">
        <v>2</v>
      </c>
      <c r="AV205" t="s">
        <v>184</v>
      </c>
      <c r="AW205">
        <v>3</v>
      </c>
      <c r="AX205">
        <v>1</v>
      </c>
      <c r="AY205">
        <v>0</v>
      </c>
      <c r="AZ205">
        <v>1</v>
      </c>
    </row>
    <row r="206" spans="1:52" x14ac:dyDescent="0.35">
      <c r="A206">
        <v>2025221682751</v>
      </c>
      <c r="B206">
        <v>2025</v>
      </c>
      <c r="C206">
        <v>221682751</v>
      </c>
      <c r="D206">
        <v>391516</v>
      </c>
      <c r="E206">
        <v>279792</v>
      </c>
      <c r="F206">
        <v>-2.12616</v>
      </c>
      <c r="G206">
        <v>52.416060000000002</v>
      </c>
      <c r="H206">
        <v>22</v>
      </c>
      <c r="I206">
        <v>1</v>
      </c>
      <c r="J206" t="str">
        <f>VLOOKUP(I206, Lookups!$B$1:$C$4, 2, FALSE)</f>
        <v>Fatal</v>
      </c>
      <c r="K206">
        <v>1</v>
      </c>
      <c r="L206">
        <v>1</v>
      </c>
      <c r="M206" s="1">
        <v>46003</v>
      </c>
      <c r="N206">
        <v>6</v>
      </c>
      <c r="O206" t="str">
        <f>VLOOKUP(N206, Lookups!$B$6:$C$12, 2, FALSE)</f>
        <v>Friday</v>
      </c>
      <c r="P206" s="2">
        <v>0.51180555555555551</v>
      </c>
      <c r="Q206">
        <v>-1</v>
      </c>
      <c r="R206" t="s">
        <v>47</v>
      </c>
      <c r="S206" t="s">
        <v>45</v>
      </c>
      <c r="T206" t="s">
        <v>45</v>
      </c>
      <c r="U206">
        <v>3</v>
      </c>
      <c r="V206" t="str">
        <f>VLOOKUP(U206, Lookups!$B$51:$C$57, 2, FALSE)</f>
        <v>A</v>
      </c>
      <c r="W206">
        <v>491</v>
      </c>
      <c r="X206" t="str">
        <f>V206&amp;W206</f>
        <v>A491</v>
      </c>
      <c r="Y206">
        <v>3</v>
      </c>
      <c r="Z206" t="str">
        <f>VLOOKUP(Y206, Lookups!$B$14:$C$21, 2, FALSE)</f>
        <v>Dual carriageway</v>
      </c>
      <c r="AA206">
        <v>60</v>
      </c>
      <c r="AB206">
        <v>-1</v>
      </c>
      <c r="AC206">
        <v>0</v>
      </c>
      <c r="AD206">
        <v>-1</v>
      </c>
      <c r="AE206">
        <v>6</v>
      </c>
      <c r="AF206">
        <v>0</v>
      </c>
      <c r="AG206">
        <v>-1</v>
      </c>
      <c r="AH206">
        <v>-1</v>
      </c>
      <c r="AI206">
        <v>0</v>
      </c>
      <c r="AJ206">
        <v>1</v>
      </c>
      <c r="AK206" t="str">
        <f>VLOOKUP(AJ206, Lookups!$B$23:$C$28, 2, FALSE)</f>
        <v>Daylight</v>
      </c>
      <c r="AL206">
        <v>1</v>
      </c>
      <c r="AM206" t="str">
        <f>VLOOKUP(AL206, Lookups!$B$30:$C$39, 2, FALSE)</f>
        <v>Fine / Clear</v>
      </c>
      <c r="AN206">
        <v>1</v>
      </c>
      <c r="AO206" t="str">
        <f>VLOOKUP(AN206, Lookups!$B$41:$C$49, 2, FALSE)</f>
        <v>Dry</v>
      </c>
      <c r="AP206">
        <v>-1</v>
      </c>
      <c r="AQ206">
        <v>-1</v>
      </c>
      <c r="AR206">
        <v>0</v>
      </c>
      <c r="AS206">
        <v>2</v>
      </c>
      <c r="AT206">
        <v>1</v>
      </c>
      <c r="AU206">
        <v>2</v>
      </c>
      <c r="AV206" t="s">
        <v>185</v>
      </c>
      <c r="AW206">
        <v>1</v>
      </c>
      <c r="AX206">
        <v>1</v>
      </c>
      <c r="AY206">
        <v>0</v>
      </c>
      <c r="AZ206">
        <v>0</v>
      </c>
    </row>
    <row r="207" spans="1:52" x14ac:dyDescent="0.35">
      <c r="A207">
        <v>2025221566815</v>
      </c>
      <c r="B207">
        <v>2025</v>
      </c>
      <c r="C207">
        <v>221566815</v>
      </c>
      <c r="D207">
        <v>407576</v>
      </c>
      <c r="E207">
        <v>267276</v>
      </c>
      <c r="F207">
        <v>-1.89032</v>
      </c>
      <c r="G207">
        <v>52.303550000000001</v>
      </c>
      <c r="H207">
        <v>22</v>
      </c>
      <c r="I207">
        <v>3</v>
      </c>
      <c r="J207" t="str">
        <f>VLOOKUP(I207, Lookups!$B$1:$C$4, 2, FALSE)</f>
        <v>Slight</v>
      </c>
      <c r="K207">
        <v>2</v>
      </c>
      <c r="L207">
        <v>1</v>
      </c>
      <c r="M207" s="1">
        <v>45735</v>
      </c>
      <c r="N207">
        <v>4</v>
      </c>
      <c r="O207" t="str">
        <f>VLOOKUP(N207, Lookups!$B$6:$C$12, 2, FALSE)</f>
        <v>Wednesday</v>
      </c>
      <c r="P207" s="2">
        <v>0.61111111111111116</v>
      </c>
      <c r="Q207">
        <v>-1</v>
      </c>
      <c r="R207" t="s">
        <v>69</v>
      </c>
      <c r="S207" t="s">
        <v>45</v>
      </c>
      <c r="T207" t="s">
        <v>45</v>
      </c>
      <c r="U207">
        <v>6</v>
      </c>
      <c r="V207" t="str">
        <f>VLOOKUP(U207, Lookups!$B$51:$C$57, 2, FALSE)</f>
        <v>Unclassified</v>
      </c>
      <c r="W207">
        <v>0</v>
      </c>
      <c r="X207" t="s">
        <v>362</v>
      </c>
      <c r="Y207">
        <v>6</v>
      </c>
      <c r="Z207" t="str">
        <f>VLOOKUP(Y207, Lookups!$B$14:$C$21, 2, FALSE)</f>
        <v>Single carriageway</v>
      </c>
      <c r="AA207">
        <v>30</v>
      </c>
      <c r="AB207">
        <v>-1</v>
      </c>
      <c r="AC207">
        <v>13</v>
      </c>
      <c r="AD207">
        <v>4</v>
      </c>
      <c r="AE207">
        <v>6</v>
      </c>
      <c r="AF207">
        <v>0</v>
      </c>
      <c r="AG207">
        <v>-1</v>
      </c>
      <c r="AH207">
        <v>-1</v>
      </c>
      <c r="AI207">
        <v>0</v>
      </c>
      <c r="AJ207">
        <v>1</v>
      </c>
      <c r="AK207" t="str">
        <f>VLOOKUP(AJ207, Lookups!$B$23:$C$28, 2, FALSE)</f>
        <v>Daylight</v>
      </c>
      <c r="AL207">
        <v>1</v>
      </c>
      <c r="AM207" t="str">
        <f>VLOOKUP(AL207, Lookups!$B$30:$C$39, 2, FALSE)</f>
        <v>Fine / Clear</v>
      </c>
      <c r="AN207">
        <v>1</v>
      </c>
      <c r="AO207" t="str">
        <f>VLOOKUP(AN207, Lookups!$B$41:$C$49, 2, FALSE)</f>
        <v>Dry</v>
      </c>
      <c r="AP207">
        <v>-1</v>
      </c>
      <c r="AQ207">
        <v>-1</v>
      </c>
      <c r="AR207">
        <v>0</v>
      </c>
      <c r="AS207">
        <v>1</v>
      </c>
      <c r="AT207">
        <v>1</v>
      </c>
      <c r="AU207">
        <v>2</v>
      </c>
      <c r="AV207" t="s">
        <v>182</v>
      </c>
      <c r="AW207">
        <v>3</v>
      </c>
      <c r="AX207">
        <v>1</v>
      </c>
      <c r="AY207">
        <v>0</v>
      </c>
      <c r="AZ207">
        <v>1</v>
      </c>
    </row>
    <row r="208" spans="1:52" x14ac:dyDescent="0.35">
      <c r="A208">
        <v>2025221637103</v>
      </c>
      <c r="B208">
        <v>2025</v>
      </c>
      <c r="C208">
        <v>221637103</v>
      </c>
      <c r="D208">
        <v>395525</v>
      </c>
      <c r="E208">
        <v>271133</v>
      </c>
      <c r="F208">
        <v>-2.0670999999999999</v>
      </c>
      <c r="G208">
        <v>52.338259999999998</v>
      </c>
      <c r="H208">
        <v>22</v>
      </c>
      <c r="I208">
        <v>3</v>
      </c>
      <c r="J208" t="str">
        <f>VLOOKUP(I208, Lookups!$B$1:$C$4, 2, FALSE)</f>
        <v>Slight</v>
      </c>
      <c r="K208">
        <v>2</v>
      </c>
      <c r="L208">
        <v>1</v>
      </c>
      <c r="M208" s="1">
        <v>45902</v>
      </c>
      <c r="N208">
        <v>3</v>
      </c>
      <c r="O208" t="str">
        <f>VLOOKUP(N208, Lookups!$B$6:$C$12, 2, FALSE)</f>
        <v>Tuesday</v>
      </c>
      <c r="P208" s="2">
        <v>0.78125</v>
      </c>
      <c r="Q208">
        <v>-1</v>
      </c>
      <c r="R208" t="s">
        <v>47</v>
      </c>
      <c r="S208" t="s">
        <v>45</v>
      </c>
      <c r="T208" t="s">
        <v>45</v>
      </c>
      <c r="U208">
        <v>6</v>
      </c>
      <c r="V208" t="str">
        <f>VLOOKUP(U208, Lookups!$B$51:$C$57, 2, FALSE)</f>
        <v>Unclassified</v>
      </c>
      <c r="W208">
        <v>0</v>
      </c>
      <c r="X208" t="s">
        <v>362</v>
      </c>
      <c r="Y208">
        <v>6</v>
      </c>
      <c r="Z208" t="str">
        <f>VLOOKUP(Y208, Lookups!$B$14:$C$21, 2, FALSE)</f>
        <v>Single carriageway</v>
      </c>
      <c r="AA208">
        <v>30</v>
      </c>
      <c r="AB208">
        <v>-1</v>
      </c>
      <c r="AC208">
        <v>13</v>
      </c>
      <c r="AD208">
        <v>4</v>
      </c>
      <c r="AE208">
        <v>6</v>
      </c>
      <c r="AF208">
        <v>0</v>
      </c>
      <c r="AG208">
        <v>-1</v>
      </c>
      <c r="AH208">
        <v>-1</v>
      </c>
      <c r="AI208">
        <v>0</v>
      </c>
      <c r="AJ208">
        <v>1</v>
      </c>
      <c r="AK208" t="str">
        <f>VLOOKUP(AJ208, Lookups!$B$23:$C$28, 2, FALSE)</f>
        <v>Daylight</v>
      </c>
      <c r="AL208">
        <v>1</v>
      </c>
      <c r="AM208" t="str">
        <f>VLOOKUP(AL208, Lookups!$B$30:$C$39, 2, FALSE)</f>
        <v>Fine / Clear</v>
      </c>
      <c r="AN208">
        <v>2</v>
      </c>
      <c r="AO208" t="str">
        <f>VLOOKUP(AN208, Lookups!$B$41:$C$49, 2, FALSE)</f>
        <v>Wet / damp</v>
      </c>
      <c r="AP208">
        <v>-1</v>
      </c>
      <c r="AQ208">
        <v>-1</v>
      </c>
      <c r="AR208">
        <v>0</v>
      </c>
      <c r="AS208">
        <v>1</v>
      </c>
      <c r="AT208">
        <v>1</v>
      </c>
      <c r="AU208">
        <v>2</v>
      </c>
      <c r="AV208" t="s">
        <v>71</v>
      </c>
      <c r="AW208">
        <v>3</v>
      </c>
      <c r="AX208">
        <v>1</v>
      </c>
      <c r="AY208">
        <v>0</v>
      </c>
      <c r="AZ208">
        <v>1</v>
      </c>
    </row>
    <row r="209" spans="1:52" x14ac:dyDescent="0.35">
      <c r="A209">
        <v>2025221604339</v>
      </c>
      <c r="B209">
        <v>2025</v>
      </c>
      <c r="C209">
        <v>221604339</v>
      </c>
      <c r="D209">
        <v>384643</v>
      </c>
      <c r="E209">
        <v>254775</v>
      </c>
      <c r="F209">
        <v>-2.22607</v>
      </c>
      <c r="G209">
        <v>52.191000000000003</v>
      </c>
      <c r="H209">
        <v>22</v>
      </c>
      <c r="I209">
        <v>3</v>
      </c>
      <c r="J209" t="str">
        <f>VLOOKUP(I209, Lookups!$B$1:$C$4, 2, FALSE)</f>
        <v>Slight</v>
      </c>
      <c r="K209">
        <v>2</v>
      </c>
      <c r="L209">
        <v>1</v>
      </c>
      <c r="M209" s="1">
        <v>45825</v>
      </c>
      <c r="N209">
        <v>3</v>
      </c>
      <c r="O209" t="str">
        <f>VLOOKUP(N209, Lookups!$B$6:$C$12, 2, FALSE)</f>
        <v>Tuesday</v>
      </c>
      <c r="P209" s="2">
        <v>0.70138888888888884</v>
      </c>
      <c r="Q209">
        <v>-1</v>
      </c>
      <c r="R209" t="s">
        <v>60</v>
      </c>
      <c r="S209" t="s">
        <v>45</v>
      </c>
      <c r="T209" t="s">
        <v>45</v>
      </c>
      <c r="U209">
        <v>3</v>
      </c>
      <c r="V209" t="str">
        <f>VLOOKUP(U209, Lookups!$B$51:$C$57, 2, FALSE)</f>
        <v>A</v>
      </c>
      <c r="W209">
        <v>44</v>
      </c>
      <c r="X209" t="str">
        <f t="shared" ref="X209:X211" si="30">V209&amp;W209</f>
        <v>A44</v>
      </c>
      <c r="Y209">
        <v>3</v>
      </c>
      <c r="Z209" t="str">
        <f>VLOOKUP(Y209, Lookups!$B$14:$C$21, 2, FALSE)</f>
        <v>Dual carriageway</v>
      </c>
      <c r="AA209">
        <v>30</v>
      </c>
      <c r="AB209">
        <v>-1</v>
      </c>
      <c r="AC209">
        <v>0</v>
      </c>
      <c r="AD209">
        <v>-1</v>
      </c>
      <c r="AE209">
        <v>6</v>
      </c>
      <c r="AF209">
        <v>0</v>
      </c>
      <c r="AG209">
        <v>-1</v>
      </c>
      <c r="AH209">
        <v>-1</v>
      </c>
      <c r="AI209">
        <v>15</v>
      </c>
      <c r="AJ209">
        <v>1</v>
      </c>
      <c r="AK209" t="str">
        <f>VLOOKUP(AJ209, Lookups!$B$23:$C$28, 2, FALSE)</f>
        <v>Daylight</v>
      </c>
      <c r="AL209">
        <v>1</v>
      </c>
      <c r="AM209" t="str">
        <f>VLOOKUP(AL209, Lookups!$B$30:$C$39, 2, FALSE)</f>
        <v>Fine / Clear</v>
      </c>
      <c r="AN209">
        <v>1</v>
      </c>
      <c r="AO209" t="str">
        <f>VLOOKUP(AN209, Lookups!$B$41:$C$49, 2, FALSE)</f>
        <v>Dry</v>
      </c>
      <c r="AP209">
        <v>-1</v>
      </c>
      <c r="AQ209">
        <v>-1</v>
      </c>
      <c r="AR209">
        <v>0</v>
      </c>
      <c r="AS209">
        <v>2</v>
      </c>
      <c r="AT209">
        <v>3</v>
      </c>
      <c r="AU209">
        <v>2</v>
      </c>
      <c r="AV209" t="s">
        <v>186</v>
      </c>
      <c r="AW209">
        <v>3</v>
      </c>
      <c r="AX209">
        <v>1</v>
      </c>
      <c r="AY209">
        <v>0</v>
      </c>
      <c r="AZ209">
        <v>1</v>
      </c>
    </row>
    <row r="210" spans="1:52" x14ac:dyDescent="0.35">
      <c r="A210">
        <v>2025221688456</v>
      </c>
      <c r="B210">
        <v>2025</v>
      </c>
      <c r="C210">
        <v>221688456</v>
      </c>
      <c r="D210">
        <v>385118</v>
      </c>
      <c r="E210">
        <v>240719</v>
      </c>
      <c r="F210">
        <v>-2.2185000000000001</v>
      </c>
      <c r="G210">
        <v>52.064639999999997</v>
      </c>
      <c r="H210">
        <v>22</v>
      </c>
      <c r="I210">
        <v>3</v>
      </c>
      <c r="J210" t="str">
        <f>VLOOKUP(I210, Lookups!$B$1:$C$4, 2, FALSE)</f>
        <v>Slight</v>
      </c>
      <c r="K210">
        <v>2</v>
      </c>
      <c r="L210">
        <v>1</v>
      </c>
      <c r="M210" s="1">
        <v>46017</v>
      </c>
      <c r="N210">
        <v>6</v>
      </c>
      <c r="O210" t="str">
        <f>VLOOKUP(N210, Lookups!$B$6:$C$12, 2, FALSE)</f>
        <v>Friday</v>
      </c>
      <c r="P210" s="2">
        <v>0.68958333333333333</v>
      </c>
      <c r="Q210">
        <v>-1</v>
      </c>
      <c r="R210" t="s">
        <v>49</v>
      </c>
      <c r="S210" t="s">
        <v>45</v>
      </c>
      <c r="T210" t="s">
        <v>45</v>
      </c>
      <c r="U210">
        <v>3</v>
      </c>
      <c r="V210" t="str">
        <f>VLOOKUP(U210, Lookups!$B$51:$C$57, 2, FALSE)</f>
        <v>A</v>
      </c>
      <c r="W210">
        <v>4104</v>
      </c>
      <c r="X210" t="str">
        <f t="shared" si="30"/>
        <v>A4104</v>
      </c>
      <c r="Y210">
        <v>1</v>
      </c>
      <c r="Z210" t="str">
        <f>VLOOKUP(Y210, Lookups!$B$14:$C$21, 2, FALSE)</f>
        <v>Roundabout</v>
      </c>
      <c r="AA210">
        <v>30</v>
      </c>
      <c r="AB210">
        <v>-1</v>
      </c>
      <c r="AC210">
        <v>-1</v>
      </c>
      <c r="AD210">
        <v>4</v>
      </c>
      <c r="AE210">
        <v>4</v>
      </c>
      <c r="AF210">
        <v>4211</v>
      </c>
      <c r="AG210">
        <v>-1</v>
      </c>
      <c r="AH210">
        <v>-1</v>
      </c>
      <c r="AI210">
        <v>13</v>
      </c>
      <c r="AJ210">
        <v>4</v>
      </c>
      <c r="AK210" t="str">
        <f>VLOOKUP(AJ210, Lookups!$B$23:$C$28, 2, FALSE)</f>
        <v>Darkness (Lit)</v>
      </c>
      <c r="AL210">
        <v>1</v>
      </c>
      <c r="AM210" t="str">
        <f>VLOOKUP(AL210, Lookups!$B$30:$C$39, 2, FALSE)</f>
        <v>Fine / Clear</v>
      </c>
      <c r="AN210">
        <v>1</v>
      </c>
      <c r="AO210" t="str">
        <f>VLOOKUP(AN210, Lookups!$B$41:$C$49, 2, FALSE)</f>
        <v>Dry</v>
      </c>
      <c r="AP210">
        <v>-1</v>
      </c>
      <c r="AQ210">
        <v>-1</v>
      </c>
      <c r="AR210">
        <v>0</v>
      </c>
      <c r="AS210">
        <v>2</v>
      </c>
      <c r="AT210">
        <v>1</v>
      </c>
      <c r="AU210">
        <v>2</v>
      </c>
      <c r="AV210" t="s">
        <v>112</v>
      </c>
      <c r="AW210">
        <v>3</v>
      </c>
      <c r="AX210">
        <v>1</v>
      </c>
      <c r="AY210">
        <v>0</v>
      </c>
      <c r="AZ210">
        <v>1</v>
      </c>
    </row>
    <row r="211" spans="1:52" x14ac:dyDescent="0.35">
      <c r="A211">
        <v>2025221547565</v>
      </c>
      <c r="B211">
        <v>2025</v>
      </c>
      <c r="C211">
        <v>221547565</v>
      </c>
      <c r="D211">
        <v>384527</v>
      </c>
      <c r="E211">
        <v>262743</v>
      </c>
      <c r="F211">
        <v>-2.2281300000000002</v>
      </c>
      <c r="G211">
        <v>52.262630000000001</v>
      </c>
      <c r="H211">
        <v>22</v>
      </c>
      <c r="I211">
        <v>2</v>
      </c>
      <c r="J211" t="str">
        <f>VLOOKUP(I211, Lookups!$B$1:$C$4, 2, FALSE)</f>
        <v>Serious</v>
      </c>
      <c r="K211">
        <v>1</v>
      </c>
      <c r="L211">
        <v>2</v>
      </c>
      <c r="M211" s="1">
        <v>45685</v>
      </c>
      <c r="N211">
        <v>3</v>
      </c>
      <c r="O211" t="str">
        <f>VLOOKUP(N211, Lookups!$B$6:$C$12, 2, FALSE)</f>
        <v>Tuesday</v>
      </c>
      <c r="P211" s="2">
        <v>0.76736111111111116</v>
      </c>
      <c r="Q211">
        <v>-1</v>
      </c>
      <c r="R211" t="s">
        <v>54</v>
      </c>
      <c r="S211" t="s">
        <v>45</v>
      </c>
      <c r="T211" t="s">
        <v>45</v>
      </c>
      <c r="U211">
        <v>3</v>
      </c>
      <c r="V211" t="str">
        <f>VLOOKUP(U211, Lookups!$B$51:$C$57, 2, FALSE)</f>
        <v>A</v>
      </c>
      <c r="W211">
        <v>4133</v>
      </c>
      <c r="X211" t="str">
        <f t="shared" si="30"/>
        <v>A4133</v>
      </c>
      <c r="Y211">
        <v>7</v>
      </c>
      <c r="Z211" t="str">
        <f>VLOOKUP(Y211, Lookups!$B$14:$C$21, 2, FALSE)</f>
        <v>Slip road</v>
      </c>
      <c r="AA211">
        <v>60</v>
      </c>
      <c r="AB211">
        <v>-1</v>
      </c>
      <c r="AC211">
        <v>0</v>
      </c>
      <c r="AD211">
        <v>-1</v>
      </c>
      <c r="AE211">
        <v>0</v>
      </c>
      <c r="AF211">
        <v>-1</v>
      </c>
      <c r="AG211">
        <v>-1</v>
      </c>
      <c r="AH211">
        <v>-1</v>
      </c>
      <c r="AI211">
        <v>0</v>
      </c>
      <c r="AJ211">
        <v>6</v>
      </c>
      <c r="AK211" t="str">
        <f>VLOOKUP(AJ211, Lookups!$B$23:$C$28, 2, FALSE)</f>
        <v>Darkness (Unlit)</v>
      </c>
      <c r="AL211">
        <v>1</v>
      </c>
      <c r="AM211" t="str">
        <f>VLOOKUP(AL211, Lookups!$B$30:$C$39, 2, FALSE)</f>
        <v>Fine / Clear</v>
      </c>
      <c r="AN211">
        <v>1</v>
      </c>
      <c r="AO211" t="str">
        <f>VLOOKUP(AN211, Lookups!$B$41:$C$49, 2, FALSE)</f>
        <v>Dry</v>
      </c>
      <c r="AP211">
        <v>-1</v>
      </c>
      <c r="AQ211">
        <v>-1</v>
      </c>
      <c r="AR211">
        <v>0</v>
      </c>
      <c r="AS211">
        <v>2</v>
      </c>
      <c r="AT211">
        <v>1</v>
      </c>
      <c r="AU211">
        <v>2</v>
      </c>
      <c r="AV211" t="s">
        <v>124</v>
      </c>
      <c r="AW211">
        <v>5</v>
      </c>
      <c r="AX211">
        <v>1</v>
      </c>
      <c r="AY211">
        <v>1</v>
      </c>
      <c r="AZ211">
        <v>0</v>
      </c>
    </row>
    <row r="212" spans="1:52" x14ac:dyDescent="0.35">
      <c r="A212">
        <v>2025221571375</v>
      </c>
      <c r="B212">
        <v>2025</v>
      </c>
      <c r="C212">
        <v>221571375</v>
      </c>
      <c r="D212">
        <v>403889</v>
      </c>
      <c r="E212">
        <v>266788</v>
      </c>
      <c r="F212">
        <v>-1.9443900000000001</v>
      </c>
      <c r="G212">
        <v>52.299199999999999</v>
      </c>
      <c r="H212">
        <v>22</v>
      </c>
      <c r="I212">
        <v>3</v>
      </c>
      <c r="J212" t="str">
        <f>VLOOKUP(I212, Lookups!$B$1:$C$4, 2, FALSE)</f>
        <v>Slight</v>
      </c>
      <c r="K212">
        <v>2</v>
      </c>
      <c r="L212">
        <v>1</v>
      </c>
      <c r="M212" s="1">
        <v>45746</v>
      </c>
      <c r="N212">
        <v>1</v>
      </c>
      <c r="O212" t="str">
        <f>VLOOKUP(N212, Lookups!$B$6:$C$12, 2, FALSE)</f>
        <v>Sunday</v>
      </c>
      <c r="P212" s="2">
        <v>0.57986111111111116</v>
      </c>
      <c r="Q212">
        <v>-1</v>
      </c>
      <c r="R212" t="s">
        <v>69</v>
      </c>
      <c r="S212" t="s">
        <v>45</v>
      </c>
      <c r="T212" t="s">
        <v>45</v>
      </c>
      <c r="U212">
        <v>6</v>
      </c>
      <c r="V212" t="str">
        <f>VLOOKUP(U212, Lookups!$B$51:$C$57, 2, FALSE)</f>
        <v>Unclassified</v>
      </c>
      <c r="W212">
        <v>0</v>
      </c>
      <c r="X212" t="s">
        <v>362</v>
      </c>
      <c r="Y212">
        <v>6</v>
      </c>
      <c r="Z212" t="str">
        <f>VLOOKUP(Y212, Lookups!$B$14:$C$21, 2, FALSE)</f>
        <v>Single carriageway</v>
      </c>
      <c r="AA212">
        <v>30</v>
      </c>
      <c r="AB212">
        <v>-1</v>
      </c>
      <c r="AC212">
        <v>0</v>
      </c>
      <c r="AD212">
        <v>-1</v>
      </c>
      <c r="AE212">
        <v>6</v>
      </c>
      <c r="AF212">
        <v>0</v>
      </c>
      <c r="AG212">
        <v>-1</v>
      </c>
      <c r="AH212">
        <v>-1</v>
      </c>
      <c r="AI212">
        <v>0</v>
      </c>
      <c r="AJ212">
        <v>1</v>
      </c>
      <c r="AK212" t="str">
        <f>VLOOKUP(AJ212, Lookups!$B$23:$C$28, 2, FALSE)</f>
        <v>Daylight</v>
      </c>
      <c r="AL212">
        <v>1</v>
      </c>
      <c r="AM212" t="str">
        <f>VLOOKUP(AL212, Lookups!$B$30:$C$39, 2, FALSE)</f>
        <v>Fine / Clear</v>
      </c>
      <c r="AN212">
        <v>1</v>
      </c>
      <c r="AO212" t="str">
        <f>VLOOKUP(AN212, Lookups!$B$41:$C$49, 2, FALSE)</f>
        <v>Dry</v>
      </c>
      <c r="AP212">
        <v>-1</v>
      </c>
      <c r="AQ212">
        <v>-1</v>
      </c>
      <c r="AR212">
        <v>0</v>
      </c>
      <c r="AS212">
        <v>1</v>
      </c>
      <c r="AT212">
        <v>1</v>
      </c>
      <c r="AU212">
        <v>2</v>
      </c>
      <c r="AV212" t="s">
        <v>187</v>
      </c>
      <c r="AW212">
        <v>3</v>
      </c>
      <c r="AX212">
        <v>1</v>
      </c>
      <c r="AY212">
        <v>0</v>
      </c>
      <c r="AZ212">
        <v>1</v>
      </c>
    </row>
    <row r="213" spans="1:52" x14ac:dyDescent="0.35">
      <c r="A213">
        <v>2025221594888</v>
      </c>
      <c r="B213">
        <v>2025</v>
      </c>
      <c r="C213">
        <v>221594888</v>
      </c>
      <c r="D213">
        <v>382426</v>
      </c>
      <c r="E213">
        <v>263317</v>
      </c>
      <c r="F213">
        <v>-2.2589399999999999</v>
      </c>
      <c r="G213">
        <v>52.26773</v>
      </c>
      <c r="H213">
        <v>22</v>
      </c>
      <c r="I213">
        <v>3</v>
      </c>
      <c r="J213" t="str">
        <f>VLOOKUP(I213, Lookups!$B$1:$C$4, 2, FALSE)</f>
        <v>Slight</v>
      </c>
      <c r="K213">
        <v>2</v>
      </c>
      <c r="L213">
        <v>2</v>
      </c>
      <c r="M213" s="1">
        <v>45803</v>
      </c>
      <c r="N213">
        <v>2</v>
      </c>
      <c r="O213" t="str">
        <f>VLOOKUP(N213, Lookups!$B$6:$C$12, 2, FALSE)</f>
        <v>Monday</v>
      </c>
      <c r="P213" s="2">
        <v>0.75694444444444442</v>
      </c>
      <c r="Q213">
        <v>-1</v>
      </c>
      <c r="R213" t="s">
        <v>49</v>
      </c>
      <c r="S213" t="s">
        <v>45</v>
      </c>
      <c r="T213" t="s">
        <v>45</v>
      </c>
      <c r="U213">
        <v>3</v>
      </c>
      <c r="V213" t="str">
        <f>VLOOKUP(U213, Lookups!$B$51:$C$57, 2, FALSE)</f>
        <v>A</v>
      </c>
      <c r="W213">
        <v>4133</v>
      </c>
      <c r="X213" t="str">
        <f>V213&amp;W213</f>
        <v>A4133</v>
      </c>
      <c r="Y213">
        <v>6</v>
      </c>
      <c r="Z213" t="str">
        <f>VLOOKUP(Y213, Lookups!$B$14:$C$21, 2, FALSE)</f>
        <v>Single carriageway</v>
      </c>
      <c r="AA213">
        <v>40</v>
      </c>
      <c r="AB213">
        <v>-1</v>
      </c>
      <c r="AC213">
        <v>19</v>
      </c>
      <c r="AD213">
        <v>4</v>
      </c>
      <c r="AE213">
        <v>6</v>
      </c>
      <c r="AF213">
        <v>0</v>
      </c>
      <c r="AG213">
        <v>-1</v>
      </c>
      <c r="AH213">
        <v>-1</v>
      </c>
      <c r="AI213">
        <v>0</v>
      </c>
      <c r="AJ213">
        <v>1</v>
      </c>
      <c r="AK213" t="str">
        <f>VLOOKUP(AJ213, Lookups!$B$23:$C$28, 2, FALSE)</f>
        <v>Daylight</v>
      </c>
      <c r="AL213">
        <v>1</v>
      </c>
      <c r="AM213" t="str">
        <f>VLOOKUP(AL213, Lookups!$B$30:$C$39, 2, FALSE)</f>
        <v>Fine / Clear</v>
      </c>
      <c r="AN213">
        <v>2</v>
      </c>
      <c r="AO213" t="str">
        <f>VLOOKUP(AN213, Lookups!$B$41:$C$49, 2, FALSE)</f>
        <v>Wet / damp</v>
      </c>
      <c r="AP213">
        <v>-1</v>
      </c>
      <c r="AQ213">
        <v>-1</v>
      </c>
      <c r="AR213">
        <v>0</v>
      </c>
      <c r="AS213">
        <v>2</v>
      </c>
      <c r="AT213">
        <v>3</v>
      </c>
      <c r="AU213">
        <v>2</v>
      </c>
      <c r="AV213" t="s">
        <v>188</v>
      </c>
      <c r="AW213">
        <v>3</v>
      </c>
      <c r="AX213">
        <v>1</v>
      </c>
      <c r="AY213">
        <v>0</v>
      </c>
      <c r="AZ213">
        <v>1</v>
      </c>
    </row>
    <row r="214" spans="1:52" x14ac:dyDescent="0.35">
      <c r="A214">
        <v>2025221644780</v>
      </c>
      <c r="B214">
        <v>2025</v>
      </c>
      <c r="C214">
        <v>221644780</v>
      </c>
      <c r="D214">
        <v>389443</v>
      </c>
      <c r="E214">
        <v>240743</v>
      </c>
      <c r="F214">
        <v>-2.1554099999999998</v>
      </c>
      <c r="G214">
        <v>52.064959999999999</v>
      </c>
      <c r="H214">
        <v>22</v>
      </c>
      <c r="I214">
        <v>3</v>
      </c>
      <c r="J214" t="str">
        <f>VLOOKUP(I214, Lookups!$B$1:$C$4, 2, FALSE)</f>
        <v>Slight</v>
      </c>
      <c r="K214">
        <v>1</v>
      </c>
      <c r="L214">
        <v>1</v>
      </c>
      <c r="M214" s="1">
        <v>45922</v>
      </c>
      <c r="N214">
        <v>2</v>
      </c>
      <c r="O214" t="str">
        <f>VLOOKUP(N214, Lookups!$B$6:$C$12, 2, FALSE)</f>
        <v>Monday</v>
      </c>
      <c r="P214" s="2">
        <v>0.34027777777777779</v>
      </c>
      <c r="Q214">
        <v>-1</v>
      </c>
      <c r="R214" t="s">
        <v>49</v>
      </c>
      <c r="S214" t="s">
        <v>45</v>
      </c>
      <c r="T214" t="s">
        <v>45</v>
      </c>
      <c r="U214">
        <v>6</v>
      </c>
      <c r="V214" t="str">
        <f>VLOOKUP(U214, Lookups!$B$51:$C$57, 2, FALSE)</f>
        <v>Unclassified</v>
      </c>
      <c r="W214">
        <v>0</v>
      </c>
      <c r="X214" t="s">
        <v>362</v>
      </c>
      <c r="Y214">
        <v>6</v>
      </c>
      <c r="Z214" t="str">
        <f>VLOOKUP(Y214, Lookups!$B$14:$C$21, 2, FALSE)</f>
        <v>Single carriageway</v>
      </c>
      <c r="AA214">
        <v>60</v>
      </c>
      <c r="AB214">
        <v>-1</v>
      </c>
      <c r="AC214">
        <v>0</v>
      </c>
      <c r="AD214">
        <v>-1</v>
      </c>
      <c r="AE214">
        <v>0</v>
      </c>
      <c r="AF214">
        <v>-1</v>
      </c>
      <c r="AG214">
        <v>-1</v>
      </c>
      <c r="AH214">
        <v>-1</v>
      </c>
      <c r="AI214">
        <v>0</v>
      </c>
      <c r="AJ214">
        <v>1</v>
      </c>
      <c r="AK214" t="str">
        <f>VLOOKUP(AJ214, Lookups!$B$23:$C$28, 2, FALSE)</f>
        <v>Daylight</v>
      </c>
      <c r="AL214">
        <v>1</v>
      </c>
      <c r="AM214" t="str">
        <f>VLOOKUP(AL214, Lookups!$B$30:$C$39, 2, FALSE)</f>
        <v>Fine / Clear</v>
      </c>
      <c r="AN214">
        <v>1</v>
      </c>
      <c r="AO214" t="str">
        <f>VLOOKUP(AN214, Lookups!$B$41:$C$49, 2, FALSE)</f>
        <v>Dry</v>
      </c>
      <c r="AP214">
        <v>-1</v>
      </c>
      <c r="AQ214">
        <v>-1</v>
      </c>
      <c r="AR214">
        <v>0</v>
      </c>
      <c r="AS214">
        <v>2</v>
      </c>
      <c r="AT214">
        <v>1</v>
      </c>
      <c r="AU214">
        <v>2</v>
      </c>
      <c r="AV214" t="s">
        <v>189</v>
      </c>
      <c r="AW214">
        <v>3</v>
      </c>
      <c r="AX214">
        <v>1</v>
      </c>
      <c r="AY214">
        <v>0</v>
      </c>
      <c r="AZ214">
        <v>1</v>
      </c>
    </row>
    <row r="215" spans="1:52" x14ac:dyDescent="0.35">
      <c r="A215">
        <v>2025221675223</v>
      </c>
      <c r="B215">
        <v>2025</v>
      </c>
      <c r="C215">
        <v>221675223</v>
      </c>
      <c r="D215">
        <v>396055</v>
      </c>
      <c r="E215">
        <v>271033</v>
      </c>
      <c r="F215">
        <v>-2.05932</v>
      </c>
      <c r="G215">
        <v>52.337359999999997</v>
      </c>
      <c r="H215">
        <v>22</v>
      </c>
      <c r="I215">
        <v>2</v>
      </c>
      <c r="J215" t="str">
        <f>VLOOKUP(I215, Lookups!$B$1:$C$4, 2, FALSE)</f>
        <v>Serious</v>
      </c>
      <c r="K215">
        <v>1</v>
      </c>
      <c r="L215">
        <v>1</v>
      </c>
      <c r="M215" s="1">
        <v>45989</v>
      </c>
      <c r="N215">
        <v>6</v>
      </c>
      <c r="O215" t="str">
        <f>VLOOKUP(N215, Lookups!$B$6:$C$12, 2, FALSE)</f>
        <v>Friday</v>
      </c>
      <c r="P215" s="2">
        <v>0.57222222222222219</v>
      </c>
      <c r="Q215">
        <v>-1</v>
      </c>
      <c r="R215" t="s">
        <v>47</v>
      </c>
      <c r="S215" t="s">
        <v>45</v>
      </c>
      <c r="T215" t="s">
        <v>45</v>
      </c>
      <c r="U215">
        <v>6</v>
      </c>
      <c r="V215" t="str">
        <f>VLOOKUP(U215, Lookups!$B$51:$C$57, 2, FALSE)</f>
        <v>Unclassified</v>
      </c>
      <c r="W215">
        <v>0</v>
      </c>
      <c r="X215" t="s">
        <v>362</v>
      </c>
      <c r="Y215">
        <v>6</v>
      </c>
      <c r="Z215" t="str">
        <f>VLOOKUP(Y215, Lookups!$B$14:$C$21, 2, FALSE)</f>
        <v>Single carriageway</v>
      </c>
      <c r="AA215">
        <v>30</v>
      </c>
      <c r="AB215">
        <v>-1</v>
      </c>
      <c r="AC215">
        <v>13</v>
      </c>
      <c r="AD215">
        <v>2</v>
      </c>
      <c r="AE215">
        <v>6</v>
      </c>
      <c r="AF215">
        <v>0</v>
      </c>
      <c r="AG215">
        <v>-1</v>
      </c>
      <c r="AH215">
        <v>-1</v>
      </c>
      <c r="AI215">
        <v>15</v>
      </c>
      <c r="AJ215">
        <v>1</v>
      </c>
      <c r="AK215" t="str">
        <f>VLOOKUP(AJ215, Lookups!$B$23:$C$28, 2, FALSE)</f>
        <v>Daylight</v>
      </c>
      <c r="AL215">
        <v>1</v>
      </c>
      <c r="AM215" t="str">
        <f>VLOOKUP(AL215, Lookups!$B$30:$C$39, 2, FALSE)</f>
        <v>Fine / Clear</v>
      </c>
      <c r="AN215">
        <v>2</v>
      </c>
      <c r="AO215" t="str">
        <f>VLOOKUP(AN215, Lookups!$B$41:$C$49, 2, FALSE)</f>
        <v>Wet / damp</v>
      </c>
      <c r="AP215">
        <v>-1</v>
      </c>
      <c r="AQ215">
        <v>-1</v>
      </c>
      <c r="AR215">
        <v>0</v>
      </c>
      <c r="AS215">
        <v>1</v>
      </c>
      <c r="AT215">
        <v>1</v>
      </c>
      <c r="AU215">
        <v>2</v>
      </c>
      <c r="AV215" t="s">
        <v>71</v>
      </c>
      <c r="AW215">
        <v>7</v>
      </c>
      <c r="AX215">
        <v>1</v>
      </c>
      <c r="AY215">
        <v>1</v>
      </c>
      <c r="AZ215">
        <v>0</v>
      </c>
    </row>
    <row r="216" spans="1:52" x14ac:dyDescent="0.35">
      <c r="A216">
        <v>2025221652382</v>
      </c>
      <c r="B216">
        <v>2025</v>
      </c>
      <c r="C216">
        <v>221652382</v>
      </c>
      <c r="D216">
        <v>407938</v>
      </c>
      <c r="E216">
        <v>272813</v>
      </c>
      <c r="F216">
        <v>-1.8848800000000001</v>
      </c>
      <c r="G216">
        <v>52.35333</v>
      </c>
      <c r="H216">
        <v>22</v>
      </c>
      <c r="I216">
        <v>3</v>
      </c>
      <c r="J216" t="str">
        <f>VLOOKUP(I216, Lookups!$B$1:$C$4, 2, FALSE)</f>
        <v>Slight</v>
      </c>
      <c r="K216">
        <v>2</v>
      </c>
      <c r="L216">
        <v>1</v>
      </c>
      <c r="M216" s="1">
        <v>45939</v>
      </c>
      <c r="N216">
        <v>5</v>
      </c>
      <c r="O216" t="str">
        <f>VLOOKUP(N216, Lookups!$B$6:$C$12, 2, FALSE)</f>
        <v>Thursday</v>
      </c>
      <c r="P216" s="2">
        <v>0.3923611111111111</v>
      </c>
      <c r="Q216">
        <v>-1</v>
      </c>
      <c r="R216" t="s">
        <v>47</v>
      </c>
      <c r="S216" t="s">
        <v>45</v>
      </c>
      <c r="T216" t="s">
        <v>45</v>
      </c>
      <c r="U216">
        <v>3</v>
      </c>
      <c r="V216" t="str">
        <f>VLOOKUP(U216, Lookups!$B$51:$C$57, 2, FALSE)</f>
        <v>A</v>
      </c>
      <c r="W216">
        <v>435</v>
      </c>
      <c r="X216" t="str">
        <f t="shared" ref="X216:X219" si="31">V216&amp;W216</f>
        <v>A435</v>
      </c>
      <c r="Y216">
        <v>3</v>
      </c>
      <c r="Z216" t="str">
        <f>VLOOKUP(Y216, Lookups!$B$14:$C$21, 2, FALSE)</f>
        <v>Dual carriageway</v>
      </c>
      <c r="AA216">
        <v>60</v>
      </c>
      <c r="AB216">
        <v>-1</v>
      </c>
      <c r="AC216">
        <v>0</v>
      </c>
      <c r="AD216">
        <v>-1</v>
      </c>
      <c r="AE216">
        <v>6</v>
      </c>
      <c r="AF216">
        <v>0</v>
      </c>
      <c r="AG216">
        <v>-1</v>
      </c>
      <c r="AH216">
        <v>-1</v>
      </c>
      <c r="AI216">
        <v>0</v>
      </c>
      <c r="AJ216">
        <v>1</v>
      </c>
      <c r="AK216" t="str">
        <f>VLOOKUP(AJ216, Lookups!$B$23:$C$28, 2, FALSE)</f>
        <v>Daylight</v>
      </c>
      <c r="AL216">
        <v>1</v>
      </c>
      <c r="AM216" t="str">
        <f>VLOOKUP(AL216, Lookups!$B$30:$C$39, 2, FALSE)</f>
        <v>Fine / Clear</v>
      </c>
      <c r="AN216">
        <v>1</v>
      </c>
      <c r="AO216" t="str">
        <f>VLOOKUP(AN216, Lookups!$B$41:$C$49, 2, FALSE)</f>
        <v>Dry</v>
      </c>
      <c r="AP216">
        <v>-1</v>
      </c>
      <c r="AQ216">
        <v>-1</v>
      </c>
      <c r="AR216">
        <v>0</v>
      </c>
      <c r="AS216">
        <v>2</v>
      </c>
      <c r="AT216">
        <v>1</v>
      </c>
      <c r="AU216">
        <v>2</v>
      </c>
      <c r="AV216" t="s">
        <v>190</v>
      </c>
      <c r="AW216">
        <v>3</v>
      </c>
      <c r="AX216">
        <v>1</v>
      </c>
      <c r="AY216">
        <v>0</v>
      </c>
      <c r="AZ216">
        <v>1</v>
      </c>
    </row>
    <row r="217" spans="1:52" x14ac:dyDescent="0.35">
      <c r="A217">
        <v>2025221659094</v>
      </c>
      <c r="B217">
        <v>2025</v>
      </c>
      <c r="C217">
        <v>221659094</v>
      </c>
      <c r="D217">
        <v>404144</v>
      </c>
      <c r="E217">
        <v>246273</v>
      </c>
      <c r="F217">
        <v>-1.9409000000000001</v>
      </c>
      <c r="G217">
        <v>52.114759999999997</v>
      </c>
      <c r="H217">
        <v>22</v>
      </c>
      <c r="I217">
        <v>3</v>
      </c>
      <c r="J217" t="str">
        <f>VLOOKUP(I217, Lookups!$B$1:$C$4, 2, FALSE)</f>
        <v>Slight</v>
      </c>
      <c r="K217">
        <v>2</v>
      </c>
      <c r="L217">
        <v>2</v>
      </c>
      <c r="M217" s="1">
        <v>45955</v>
      </c>
      <c r="N217">
        <v>7</v>
      </c>
      <c r="O217" t="str">
        <f>VLOOKUP(N217, Lookups!$B$6:$C$12, 2, FALSE)</f>
        <v>Saturday</v>
      </c>
      <c r="P217" s="2">
        <v>0.53125</v>
      </c>
      <c r="Q217">
        <v>-1</v>
      </c>
      <c r="R217" t="s">
        <v>54</v>
      </c>
      <c r="S217" t="s">
        <v>45</v>
      </c>
      <c r="T217" t="s">
        <v>45</v>
      </c>
      <c r="U217">
        <v>3</v>
      </c>
      <c r="V217" t="str">
        <f>VLOOKUP(U217, Lookups!$B$51:$C$57, 2, FALSE)</f>
        <v>A</v>
      </c>
      <c r="W217">
        <v>46</v>
      </c>
      <c r="X217" t="str">
        <f t="shared" si="31"/>
        <v>A46</v>
      </c>
      <c r="Y217">
        <v>3</v>
      </c>
      <c r="Z217" t="str">
        <f>VLOOKUP(Y217, Lookups!$B$14:$C$21, 2, FALSE)</f>
        <v>Dual carriageway</v>
      </c>
      <c r="AA217">
        <v>70</v>
      </c>
      <c r="AB217">
        <v>-1</v>
      </c>
      <c r="AC217">
        <v>0</v>
      </c>
      <c r="AD217">
        <v>-1</v>
      </c>
      <c r="AE217">
        <v>3</v>
      </c>
      <c r="AF217">
        <v>46</v>
      </c>
      <c r="AG217">
        <v>-1</v>
      </c>
      <c r="AH217">
        <v>-1</v>
      </c>
      <c r="AI217">
        <v>0</v>
      </c>
      <c r="AJ217">
        <v>1</v>
      </c>
      <c r="AK217" t="str">
        <f>VLOOKUP(AJ217, Lookups!$B$23:$C$28, 2, FALSE)</f>
        <v>Daylight</v>
      </c>
      <c r="AL217">
        <v>1</v>
      </c>
      <c r="AM217" t="str">
        <f>VLOOKUP(AL217, Lookups!$B$30:$C$39, 2, FALSE)</f>
        <v>Fine / Clear</v>
      </c>
      <c r="AN217">
        <v>2</v>
      </c>
      <c r="AO217" t="str">
        <f>VLOOKUP(AN217, Lookups!$B$41:$C$49, 2, FALSE)</f>
        <v>Wet / damp</v>
      </c>
      <c r="AP217">
        <v>-1</v>
      </c>
      <c r="AQ217">
        <v>-1</v>
      </c>
      <c r="AR217">
        <v>0</v>
      </c>
      <c r="AS217">
        <v>2</v>
      </c>
      <c r="AT217">
        <v>3</v>
      </c>
      <c r="AU217">
        <v>1</v>
      </c>
      <c r="AV217" t="s">
        <v>58</v>
      </c>
      <c r="AW217">
        <v>3</v>
      </c>
      <c r="AX217">
        <v>1</v>
      </c>
      <c r="AY217">
        <v>0</v>
      </c>
      <c r="AZ217">
        <v>1</v>
      </c>
    </row>
    <row r="218" spans="1:52" x14ac:dyDescent="0.35">
      <c r="A218">
        <v>2025221683472</v>
      </c>
      <c r="B218">
        <v>2025</v>
      </c>
      <c r="C218">
        <v>221683472</v>
      </c>
      <c r="D218">
        <v>385904</v>
      </c>
      <c r="E218">
        <v>255347</v>
      </c>
      <c r="F218">
        <v>-2.20764</v>
      </c>
      <c r="G218">
        <v>52.196179999999998</v>
      </c>
      <c r="H218">
        <v>22</v>
      </c>
      <c r="I218">
        <v>3</v>
      </c>
      <c r="J218" t="str">
        <f>VLOOKUP(I218, Lookups!$B$1:$C$4, 2, FALSE)</f>
        <v>Slight</v>
      </c>
      <c r="K218">
        <v>2</v>
      </c>
      <c r="L218">
        <v>1</v>
      </c>
      <c r="M218" s="1">
        <v>46006</v>
      </c>
      <c r="N218">
        <v>2</v>
      </c>
      <c r="O218" t="str">
        <f>VLOOKUP(N218, Lookups!$B$6:$C$12, 2, FALSE)</f>
        <v>Monday</v>
      </c>
      <c r="P218" s="2">
        <v>0.76041666666666663</v>
      </c>
      <c r="Q218">
        <v>-1</v>
      </c>
      <c r="R218" t="s">
        <v>60</v>
      </c>
      <c r="S218" t="s">
        <v>45</v>
      </c>
      <c r="T218" t="s">
        <v>45</v>
      </c>
      <c r="U218">
        <v>4</v>
      </c>
      <c r="V218" t="str">
        <f>VLOOKUP(U218, Lookups!$B$51:$C$57, 2, FALSE)</f>
        <v>B</v>
      </c>
      <c r="W218">
        <v>4637</v>
      </c>
      <c r="X218" t="str">
        <f t="shared" si="31"/>
        <v>B4637</v>
      </c>
      <c r="Y218">
        <v>6</v>
      </c>
      <c r="Z218" t="str">
        <f>VLOOKUP(Y218, Lookups!$B$14:$C$21, 2, FALSE)</f>
        <v>Single carriageway</v>
      </c>
      <c r="AA218">
        <v>30</v>
      </c>
      <c r="AB218">
        <v>-1</v>
      </c>
      <c r="AC218">
        <v>16</v>
      </c>
      <c r="AD218">
        <v>2</v>
      </c>
      <c r="AE218">
        <v>6</v>
      </c>
      <c r="AF218">
        <v>0</v>
      </c>
      <c r="AG218">
        <v>-1</v>
      </c>
      <c r="AH218">
        <v>-1</v>
      </c>
      <c r="AI218">
        <v>14</v>
      </c>
      <c r="AJ218">
        <v>4</v>
      </c>
      <c r="AK218" t="str">
        <f>VLOOKUP(AJ218, Lookups!$B$23:$C$28, 2, FALSE)</f>
        <v>Darkness (Lit)</v>
      </c>
      <c r="AL218">
        <v>1</v>
      </c>
      <c r="AM218" t="str">
        <f>VLOOKUP(AL218, Lookups!$B$30:$C$39, 2, FALSE)</f>
        <v>Fine / Clear</v>
      </c>
      <c r="AN218">
        <v>2</v>
      </c>
      <c r="AO218" t="str">
        <f>VLOOKUP(AN218, Lookups!$B$41:$C$49, 2, FALSE)</f>
        <v>Wet / damp</v>
      </c>
      <c r="AP218">
        <v>-1</v>
      </c>
      <c r="AQ218">
        <v>-1</v>
      </c>
      <c r="AR218">
        <v>0</v>
      </c>
      <c r="AS218">
        <v>1</v>
      </c>
      <c r="AT218">
        <v>1</v>
      </c>
      <c r="AU218">
        <v>2</v>
      </c>
      <c r="AV218" t="s">
        <v>191</v>
      </c>
      <c r="AW218">
        <v>3</v>
      </c>
      <c r="AX218">
        <v>1</v>
      </c>
      <c r="AY218">
        <v>0</v>
      </c>
      <c r="AZ218">
        <v>1</v>
      </c>
    </row>
    <row r="219" spans="1:52" x14ac:dyDescent="0.35">
      <c r="A219">
        <v>2025221667639</v>
      </c>
      <c r="B219">
        <v>2025</v>
      </c>
      <c r="C219">
        <v>221667639</v>
      </c>
      <c r="D219">
        <v>405008</v>
      </c>
      <c r="E219">
        <v>267514</v>
      </c>
      <c r="F219">
        <v>-1.92797</v>
      </c>
      <c r="G219">
        <v>52.305720000000001</v>
      </c>
      <c r="H219">
        <v>22</v>
      </c>
      <c r="I219">
        <v>2</v>
      </c>
      <c r="J219" t="str">
        <f>VLOOKUP(I219, Lookups!$B$1:$C$4, 2, FALSE)</f>
        <v>Serious</v>
      </c>
      <c r="K219">
        <v>1</v>
      </c>
      <c r="L219">
        <v>1</v>
      </c>
      <c r="M219" s="1">
        <v>45973</v>
      </c>
      <c r="N219">
        <v>4</v>
      </c>
      <c r="O219" t="str">
        <f>VLOOKUP(N219, Lookups!$B$6:$C$12, 2, FALSE)</f>
        <v>Wednesday</v>
      </c>
      <c r="P219" s="2">
        <v>0.8979166666666667</v>
      </c>
      <c r="Q219">
        <v>-1</v>
      </c>
      <c r="R219" t="s">
        <v>69</v>
      </c>
      <c r="S219" t="s">
        <v>45</v>
      </c>
      <c r="T219" t="s">
        <v>45</v>
      </c>
      <c r="U219">
        <v>3</v>
      </c>
      <c r="V219" t="str">
        <f>VLOOKUP(U219, Lookups!$B$51:$C$57, 2, FALSE)</f>
        <v>A</v>
      </c>
      <c r="W219">
        <v>441</v>
      </c>
      <c r="X219" t="str">
        <f t="shared" si="31"/>
        <v>A441</v>
      </c>
      <c r="Y219">
        <v>3</v>
      </c>
      <c r="Z219" t="str">
        <f>VLOOKUP(Y219, Lookups!$B$14:$C$21, 2, FALSE)</f>
        <v>Dual carriageway</v>
      </c>
      <c r="AA219">
        <v>40</v>
      </c>
      <c r="AB219">
        <v>-1</v>
      </c>
      <c r="AC219">
        <v>0</v>
      </c>
      <c r="AD219">
        <v>-1</v>
      </c>
      <c r="AE219">
        <v>0</v>
      </c>
      <c r="AF219">
        <v>-1</v>
      </c>
      <c r="AG219">
        <v>-1</v>
      </c>
      <c r="AH219">
        <v>-1</v>
      </c>
      <c r="AI219">
        <v>0</v>
      </c>
      <c r="AJ219">
        <v>4</v>
      </c>
      <c r="AK219" t="str">
        <f>VLOOKUP(AJ219, Lookups!$B$23:$C$28, 2, FALSE)</f>
        <v>Darkness (Lit)</v>
      </c>
      <c r="AL219">
        <v>1</v>
      </c>
      <c r="AM219" t="str">
        <f>VLOOKUP(AL219, Lookups!$B$30:$C$39, 2, FALSE)</f>
        <v>Fine / Clear</v>
      </c>
      <c r="AN219">
        <v>2</v>
      </c>
      <c r="AO219" t="str">
        <f>VLOOKUP(AN219, Lookups!$B$41:$C$49, 2, FALSE)</f>
        <v>Wet / damp</v>
      </c>
      <c r="AP219">
        <v>-1</v>
      </c>
      <c r="AQ219">
        <v>-1</v>
      </c>
      <c r="AR219">
        <v>0</v>
      </c>
      <c r="AS219">
        <v>1</v>
      </c>
      <c r="AT219">
        <v>1</v>
      </c>
      <c r="AU219">
        <v>2</v>
      </c>
      <c r="AV219" t="s">
        <v>192</v>
      </c>
      <c r="AW219">
        <v>5</v>
      </c>
      <c r="AX219">
        <v>1</v>
      </c>
      <c r="AY219">
        <v>1</v>
      </c>
      <c r="AZ219">
        <v>0</v>
      </c>
    </row>
    <row r="220" spans="1:52" x14ac:dyDescent="0.35">
      <c r="A220">
        <v>2025221561232</v>
      </c>
      <c r="B220">
        <v>2025</v>
      </c>
      <c r="C220">
        <v>221561232</v>
      </c>
      <c r="D220">
        <v>383575</v>
      </c>
      <c r="E220">
        <v>275943</v>
      </c>
      <c r="F220">
        <v>-2.2427299999999999</v>
      </c>
      <c r="G220">
        <v>52.381270000000001</v>
      </c>
      <c r="H220">
        <v>22</v>
      </c>
      <c r="I220">
        <v>3</v>
      </c>
      <c r="J220" t="str">
        <f>VLOOKUP(I220, Lookups!$B$1:$C$4, 2, FALSE)</f>
        <v>Slight</v>
      </c>
      <c r="K220">
        <v>1</v>
      </c>
      <c r="L220">
        <v>1</v>
      </c>
      <c r="M220" s="1">
        <v>45710</v>
      </c>
      <c r="N220">
        <v>7</v>
      </c>
      <c r="O220" t="str">
        <f>VLOOKUP(N220, Lookups!$B$6:$C$12, 2, FALSE)</f>
        <v>Saturday</v>
      </c>
      <c r="P220" s="2">
        <v>0.60416666666666663</v>
      </c>
      <c r="Q220">
        <v>-1</v>
      </c>
      <c r="R220" t="s">
        <v>44</v>
      </c>
      <c r="S220" t="s">
        <v>45</v>
      </c>
      <c r="T220" t="s">
        <v>45</v>
      </c>
      <c r="U220">
        <v>6</v>
      </c>
      <c r="V220" t="str">
        <f>VLOOKUP(U220, Lookups!$B$51:$C$57, 2, FALSE)</f>
        <v>Unclassified</v>
      </c>
      <c r="W220">
        <v>0</v>
      </c>
      <c r="X220" t="s">
        <v>362</v>
      </c>
      <c r="Y220">
        <v>6</v>
      </c>
      <c r="Z220" t="str">
        <f>VLOOKUP(Y220, Lookups!$B$14:$C$21, 2, FALSE)</f>
        <v>Single carriageway</v>
      </c>
      <c r="AA220">
        <v>30</v>
      </c>
      <c r="AB220">
        <v>-1</v>
      </c>
      <c r="AC220">
        <v>19</v>
      </c>
      <c r="AD220">
        <v>4</v>
      </c>
      <c r="AE220">
        <v>6</v>
      </c>
      <c r="AF220">
        <v>0</v>
      </c>
      <c r="AG220">
        <v>-1</v>
      </c>
      <c r="AH220">
        <v>-1</v>
      </c>
      <c r="AI220">
        <v>0</v>
      </c>
      <c r="AJ220">
        <v>1</v>
      </c>
      <c r="AK220" t="str">
        <f>VLOOKUP(AJ220, Lookups!$B$23:$C$28, 2, FALSE)</f>
        <v>Daylight</v>
      </c>
      <c r="AL220">
        <v>1</v>
      </c>
      <c r="AM220" t="str">
        <f>VLOOKUP(AL220, Lookups!$B$30:$C$39, 2, FALSE)</f>
        <v>Fine / Clear</v>
      </c>
      <c r="AN220">
        <v>1</v>
      </c>
      <c r="AO220" t="str">
        <f>VLOOKUP(AN220, Lookups!$B$41:$C$49, 2, FALSE)</f>
        <v>Dry</v>
      </c>
      <c r="AP220">
        <v>-1</v>
      </c>
      <c r="AQ220">
        <v>-1</v>
      </c>
      <c r="AR220">
        <v>0</v>
      </c>
      <c r="AS220">
        <v>1</v>
      </c>
      <c r="AT220">
        <v>1</v>
      </c>
      <c r="AU220">
        <v>2</v>
      </c>
      <c r="AV220" t="s">
        <v>152</v>
      </c>
      <c r="AW220">
        <v>3</v>
      </c>
      <c r="AX220">
        <v>1</v>
      </c>
      <c r="AY220">
        <v>0</v>
      </c>
      <c r="AZ220">
        <v>1</v>
      </c>
    </row>
    <row r="221" spans="1:52" x14ac:dyDescent="0.35">
      <c r="A221">
        <v>2025221585215</v>
      </c>
      <c r="B221">
        <v>2025</v>
      </c>
      <c r="C221">
        <v>221585215</v>
      </c>
      <c r="D221">
        <v>401702</v>
      </c>
      <c r="E221">
        <v>274393</v>
      </c>
      <c r="F221">
        <v>-1.9764299999999999</v>
      </c>
      <c r="G221">
        <v>52.367579999999997</v>
      </c>
      <c r="H221">
        <v>22</v>
      </c>
      <c r="I221">
        <v>2</v>
      </c>
      <c r="J221" t="str">
        <f>VLOOKUP(I221, Lookups!$B$1:$C$4, 2, FALSE)</f>
        <v>Serious</v>
      </c>
      <c r="K221">
        <v>1</v>
      </c>
      <c r="L221">
        <v>2</v>
      </c>
      <c r="M221" s="1">
        <v>45780</v>
      </c>
      <c r="N221">
        <v>7</v>
      </c>
      <c r="O221" t="str">
        <f>VLOOKUP(N221, Lookups!$B$6:$C$12, 2, FALSE)</f>
        <v>Saturday</v>
      </c>
      <c r="P221" s="2">
        <v>2.7083333333333334E-2</v>
      </c>
      <c r="Q221">
        <v>-1</v>
      </c>
      <c r="R221" t="s">
        <v>47</v>
      </c>
      <c r="S221" t="s">
        <v>45</v>
      </c>
      <c r="T221" t="s">
        <v>45</v>
      </c>
      <c r="U221">
        <v>6</v>
      </c>
      <c r="V221" t="str">
        <f>VLOOKUP(U221, Lookups!$B$51:$C$57, 2, FALSE)</f>
        <v>Unclassified</v>
      </c>
      <c r="W221">
        <v>0</v>
      </c>
      <c r="X221" t="s">
        <v>362</v>
      </c>
      <c r="Y221">
        <v>6</v>
      </c>
      <c r="Z221" t="str">
        <f>VLOOKUP(Y221, Lookups!$B$14:$C$21, 2, FALSE)</f>
        <v>Single carriageway</v>
      </c>
      <c r="AA221">
        <v>60</v>
      </c>
      <c r="AB221">
        <v>-1</v>
      </c>
      <c r="AC221">
        <v>0</v>
      </c>
      <c r="AD221">
        <v>-1</v>
      </c>
      <c r="AE221">
        <v>0</v>
      </c>
      <c r="AF221">
        <v>-1</v>
      </c>
      <c r="AG221">
        <v>-1</v>
      </c>
      <c r="AH221">
        <v>-1</v>
      </c>
      <c r="AI221">
        <v>0</v>
      </c>
      <c r="AJ221">
        <v>6</v>
      </c>
      <c r="AK221" t="str">
        <f>VLOOKUP(AJ221, Lookups!$B$23:$C$28, 2, FALSE)</f>
        <v>Darkness (Unlit)</v>
      </c>
      <c r="AL221">
        <v>1</v>
      </c>
      <c r="AM221" t="str">
        <f>VLOOKUP(AL221, Lookups!$B$30:$C$39, 2, FALSE)</f>
        <v>Fine / Clear</v>
      </c>
      <c r="AN221">
        <v>1</v>
      </c>
      <c r="AO221" t="str">
        <f>VLOOKUP(AN221, Lookups!$B$41:$C$49, 2, FALSE)</f>
        <v>Dry</v>
      </c>
      <c r="AP221">
        <v>-1</v>
      </c>
      <c r="AQ221">
        <v>-1</v>
      </c>
      <c r="AR221">
        <v>0</v>
      </c>
      <c r="AS221">
        <v>2</v>
      </c>
      <c r="AT221">
        <v>1</v>
      </c>
      <c r="AU221">
        <v>2</v>
      </c>
      <c r="AV221" t="s">
        <v>184</v>
      </c>
      <c r="AW221">
        <v>6</v>
      </c>
      <c r="AX221">
        <v>1</v>
      </c>
      <c r="AY221">
        <v>1</v>
      </c>
      <c r="AZ221">
        <v>0</v>
      </c>
    </row>
    <row r="222" spans="1:52" x14ac:dyDescent="0.35">
      <c r="A222">
        <v>2025221626882</v>
      </c>
      <c r="B222">
        <v>2025</v>
      </c>
      <c r="C222">
        <v>221626882</v>
      </c>
      <c r="D222">
        <v>386600</v>
      </c>
      <c r="E222">
        <v>255643</v>
      </c>
      <c r="F222">
        <v>-2.19747</v>
      </c>
      <c r="G222">
        <v>52.19885</v>
      </c>
      <c r="H222">
        <v>22</v>
      </c>
      <c r="I222">
        <v>2</v>
      </c>
      <c r="J222" t="str">
        <f>VLOOKUP(I222, Lookups!$B$1:$C$4, 2, FALSE)</f>
        <v>Serious</v>
      </c>
      <c r="K222">
        <v>3</v>
      </c>
      <c r="L222">
        <v>2</v>
      </c>
      <c r="M222" s="1">
        <v>45878</v>
      </c>
      <c r="N222">
        <v>7</v>
      </c>
      <c r="O222" t="str">
        <f>VLOOKUP(N222, Lookups!$B$6:$C$12, 2, FALSE)</f>
        <v>Saturday</v>
      </c>
      <c r="P222" s="2">
        <v>0.97222222222222221</v>
      </c>
      <c r="Q222">
        <v>-1</v>
      </c>
      <c r="R222" t="s">
        <v>60</v>
      </c>
      <c r="S222" t="s">
        <v>45</v>
      </c>
      <c r="T222" t="s">
        <v>45</v>
      </c>
      <c r="U222">
        <v>4</v>
      </c>
      <c r="V222" t="str">
        <f>VLOOKUP(U222, Lookups!$B$51:$C$57, 2, FALSE)</f>
        <v>B</v>
      </c>
      <c r="W222">
        <v>4637</v>
      </c>
      <c r="X222" t="str">
        <f t="shared" ref="X222:X231" si="32">V222&amp;W222</f>
        <v>B4637</v>
      </c>
      <c r="Y222">
        <v>6</v>
      </c>
      <c r="Z222" t="str">
        <f>VLOOKUP(Y222, Lookups!$B$14:$C$21, 2, FALSE)</f>
        <v>Single carriageway</v>
      </c>
      <c r="AA222">
        <v>30</v>
      </c>
      <c r="AB222">
        <v>-1</v>
      </c>
      <c r="AC222">
        <v>13</v>
      </c>
      <c r="AD222">
        <v>4</v>
      </c>
      <c r="AE222">
        <v>6</v>
      </c>
      <c r="AF222">
        <v>0</v>
      </c>
      <c r="AG222">
        <v>-1</v>
      </c>
      <c r="AH222">
        <v>-1</v>
      </c>
      <c r="AI222">
        <v>0</v>
      </c>
      <c r="AJ222">
        <v>4</v>
      </c>
      <c r="AK222" t="str">
        <f>VLOOKUP(AJ222, Lookups!$B$23:$C$28, 2, FALSE)</f>
        <v>Darkness (Lit)</v>
      </c>
      <c r="AL222">
        <v>1</v>
      </c>
      <c r="AM222" t="str">
        <f>VLOOKUP(AL222, Lookups!$B$30:$C$39, 2, FALSE)</f>
        <v>Fine / Clear</v>
      </c>
      <c r="AN222">
        <v>1</v>
      </c>
      <c r="AO222" t="str">
        <f>VLOOKUP(AN222, Lookups!$B$41:$C$49, 2, FALSE)</f>
        <v>Dry</v>
      </c>
      <c r="AP222">
        <v>-1</v>
      </c>
      <c r="AQ222">
        <v>-1</v>
      </c>
      <c r="AR222">
        <v>0</v>
      </c>
      <c r="AS222">
        <v>1</v>
      </c>
      <c r="AT222">
        <v>1</v>
      </c>
      <c r="AU222">
        <v>2</v>
      </c>
      <c r="AV222" t="s">
        <v>193</v>
      </c>
      <c r="AW222">
        <v>7</v>
      </c>
      <c r="AX222">
        <v>1</v>
      </c>
      <c r="AY222">
        <v>1</v>
      </c>
      <c r="AZ222">
        <v>0</v>
      </c>
    </row>
    <row r="223" spans="1:52" x14ac:dyDescent="0.35">
      <c r="A223">
        <v>2025221638359</v>
      </c>
      <c r="B223">
        <v>2025</v>
      </c>
      <c r="C223">
        <v>221638359</v>
      </c>
      <c r="D223">
        <v>396578</v>
      </c>
      <c r="E223">
        <v>281264</v>
      </c>
      <c r="F223">
        <v>-2.0517500000000002</v>
      </c>
      <c r="G223">
        <v>52.429349999999999</v>
      </c>
      <c r="H223">
        <v>22</v>
      </c>
      <c r="I223">
        <v>2</v>
      </c>
      <c r="J223" t="str">
        <f>VLOOKUP(I223, Lookups!$B$1:$C$4, 2, FALSE)</f>
        <v>Serious</v>
      </c>
      <c r="K223">
        <v>2</v>
      </c>
      <c r="L223">
        <v>1</v>
      </c>
      <c r="M223" s="1">
        <v>45906</v>
      </c>
      <c r="N223">
        <v>7</v>
      </c>
      <c r="O223" t="str">
        <f>VLOOKUP(N223, Lookups!$B$6:$C$12, 2, FALSE)</f>
        <v>Saturday</v>
      </c>
      <c r="P223" s="2">
        <v>0.50555555555555554</v>
      </c>
      <c r="Q223">
        <v>-1</v>
      </c>
      <c r="R223" t="s">
        <v>47</v>
      </c>
      <c r="S223" t="s">
        <v>45</v>
      </c>
      <c r="T223" t="s">
        <v>45</v>
      </c>
      <c r="U223">
        <v>4</v>
      </c>
      <c r="V223" t="str">
        <f>VLOOKUP(U223, Lookups!$B$51:$C$57, 2, FALSE)</f>
        <v>B</v>
      </c>
      <c r="W223">
        <v>4551</v>
      </c>
      <c r="X223" t="str">
        <f t="shared" si="32"/>
        <v>B4551</v>
      </c>
      <c r="Y223">
        <v>6</v>
      </c>
      <c r="Z223" t="str">
        <f>VLOOKUP(Y223, Lookups!$B$14:$C$21, 2, FALSE)</f>
        <v>Single carriageway</v>
      </c>
      <c r="AA223">
        <v>30</v>
      </c>
      <c r="AB223">
        <v>-1</v>
      </c>
      <c r="AC223">
        <v>18</v>
      </c>
      <c r="AD223">
        <v>4</v>
      </c>
      <c r="AE223">
        <v>6</v>
      </c>
      <c r="AF223">
        <v>0</v>
      </c>
      <c r="AG223">
        <v>-1</v>
      </c>
      <c r="AH223">
        <v>-1</v>
      </c>
      <c r="AI223">
        <v>0</v>
      </c>
      <c r="AJ223">
        <v>1</v>
      </c>
      <c r="AK223" t="str">
        <f>VLOOKUP(AJ223, Lookups!$B$23:$C$28, 2, FALSE)</f>
        <v>Daylight</v>
      </c>
      <c r="AL223">
        <v>1</v>
      </c>
      <c r="AM223" t="str">
        <f>VLOOKUP(AL223, Lookups!$B$30:$C$39, 2, FALSE)</f>
        <v>Fine / Clear</v>
      </c>
      <c r="AN223">
        <v>1</v>
      </c>
      <c r="AO223" t="str">
        <f>VLOOKUP(AN223, Lookups!$B$41:$C$49, 2, FALSE)</f>
        <v>Dry</v>
      </c>
      <c r="AP223">
        <v>-1</v>
      </c>
      <c r="AQ223">
        <v>-1</v>
      </c>
      <c r="AR223">
        <v>0</v>
      </c>
      <c r="AS223">
        <v>2</v>
      </c>
      <c r="AT223">
        <v>3</v>
      </c>
      <c r="AU223">
        <v>2</v>
      </c>
      <c r="AV223" t="s">
        <v>149</v>
      </c>
      <c r="AW223">
        <v>7</v>
      </c>
      <c r="AX223">
        <v>1</v>
      </c>
      <c r="AY223">
        <v>1</v>
      </c>
      <c r="AZ223">
        <v>0</v>
      </c>
    </row>
    <row r="224" spans="1:52" x14ac:dyDescent="0.35">
      <c r="A224">
        <v>2025221545501</v>
      </c>
      <c r="B224">
        <v>2025</v>
      </c>
      <c r="C224">
        <v>221545501</v>
      </c>
      <c r="D224">
        <v>395787</v>
      </c>
      <c r="E224">
        <v>268923</v>
      </c>
      <c r="F224">
        <v>-2.0632299999999999</v>
      </c>
      <c r="G224">
        <v>52.318390000000001</v>
      </c>
      <c r="H224">
        <v>22</v>
      </c>
      <c r="I224">
        <v>3</v>
      </c>
      <c r="J224" t="str">
        <f>VLOOKUP(I224, Lookups!$B$1:$C$4, 2, FALSE)</f>
        <v>Slight</v>
      </c>
      <c r="K224">
        <v>3</v>
      </c>
      <c r="L224">
        <v>2</v>
      </c>
      <c r="M224" s="1">
        <v>45680</v>
      </c>
      <c r="N224">
        <v>5</v>
      </c>
      <c r="O224" t="str">
        <f>VLOOKUP(N224, Lookups!$B$6:$C$12, 2, FALSE)</f>
        <v>Thursday</v>
      </c>
      <c r="P224" s="2">
        <v>0.69444444444444442</v>
      </c>
      <c r="Q224">
        <v>-1</v>
      </c>
      <c r="R224" t="s">
        <v>47</v>
      </c>
      <c r="S224" t="s">
        <v>45</v>
      </c>
      <c r="T224" t="s">
        <v>45</v>
      </c>
      <c r="U224">
        <v>3</v>
      </c>
      <c r="V224" t="str">
        <f>VLOOKUP(U224, Lookups!$B$51:$C$57, 2, FALSE)</f>
        <v>A</v>
      </c>
      <c r="W224">
        <v>38</v>
      </c>
      <c r="X224" t="str">
        <f t="shared" si="32"/>
        <v>A38</v>
      </c>
      <c r="Y224">
        <v>1</v>
      </c>
      <c r="Z224" t="str">
        <f>VLOOKUP(Y224, Lookups!$B$14:$C$21, 2, FALSE)</f>
        <v>Roundabout</v>
      </c>
      <c r="AA224">
        <v>30</v>
      </c>
      <c r="AB224">
        <v>-1</v>
      </c>
      <c r="AC224">
        <v>-1</v>
      </c>
      <c r="AD224">
        <v>4</v>
      </c>
      <c r="AE224">
        <v>6</v>
      </c>
      <c r="AF224">
        <v>0</v>
      </c>
      <c r="AG224">
        <v>-1</v>
      </c>
      <c r="AH224">
        <v>-1</v>
      </c>
      <c r="AI224">
        <v>0</v>
      </c>
      <c r="AJ224">
        <v>1</v>
      </c>
      <c r="AK224" t="str">
        <f>VLOOKUP(AJ224, Lookups!$B$23:$C$28, 2, FALSE)</f>
        <v>Daylight</v>
      </c>
      <c r="AL224">
        <v>1</v>
      </c>
      <c r="AM224" t="str">
        <f>VLOOKUP(AL224, Lookups!$B$30:$C$39, 2, FALSE)</f>
        <v>Fine / Clear</v>
      </c>
      <c r="AN224">
        <v>2</v>
      </c>
      <c r="AO224" t="str">
        <f>VLOOKUP(AN224, Lookups!$B$41:$C$49, 2, FALSE)</f>
        <v>Wet / damp</v>
      </c>
      <c r="AP224">
        <v>-1</v>
      </c>
      <c r="AQ224">
        <v>-1</v>
      </c>
      <c r="AR224">
        <v>0</v>
      </c>
      <c r="AS224">
        <v>1</v>
      </c>
      <c r="AT224">
        <v>3</v>
      </c>
      <c r="AU224">
        <v>2</v>
      </c>
      <c r="AV224" t="s">
        <v>194</v>
      </c>
      <c r="AW224">
        <v>3</v>
      </c>
      <c r="AX224">
        <v>1</v>
      </c>
      <c r="AY224">
        <v>0</v>
      </c>
      <c r="AZ224">
        <v>1</v>
      </c>
    </row>
    <row r="225" spans="1:52" x14ac:dyDescent="0.35">
      <c r="A225">
        <v>2025221622736</v>
      </c>
      <c r="B225">
        <v>2025</v>
      </c>
      <c r="C225">
        <v>221622736</v>
      </c>
      <c r="D225">
        <v>398647</v>
      </c>
      <c r="E225">
        <v>256240</v>
      </c>
      <c r="F225">
        <v>-2.02122</v>
      </c>
      <c r="G225">
        <v>52.20438</v>
      </c>
      <c r="H225">
        <v>22</v>
      </c>
      <c r="I225">
        <v>1</v>
      </c>
      <c r="J225" t="str">
        <f>VLOOKUP(I225, Lookups!$B$1:$C$4, 2, FALSE)</f>
        <v>Fatal</v>
      </c>
      <c r="K225">
        <v>3</v>
      </c>
      <c r="L225">
        <v>1</v>
      </c>
      <c r="M225" s="1">
        <v>45868</v>
      </c>
      <c r="N225">
        <v>4</v>
      </c>
      <c r="O225" t="str">
        <f>VLOOKUP(N225, Lookups!$B$6:$C$12, 2, FALSE)</f>
        <v>Wednesday</v>
      </c>
      <c r="P225" s="2">
        <v>0.70277777777777772</v>
      </c>
      <c r="Q225">
        <v>-1</v>
      </c>
      <c r="R225" t="s">
        <v>54</v>
      </c>
      <c r="S225" t="s">
        <v>45</v>
      </c>
      <c r="T225" t="s">
        <v>45</v>
      </c>
      <c r="U225">
        <v>3</v>
      </c>
      <c r="V225" t="str">
        <f>VLOOKUP(U225, Lookups!$B$51:$C$57, 2, FALSE)</f>
        <v>A</v>
      </c>
      <c r="W225">
        <v>422</v>
      </c>
      <c r="X225" t="str">
        <f t="shared" si="32"/>
        <v>A422</v>
      </c>
      <c r="Y225">
        <v>6</v>
      </c>
      <c r="Z225" t="str">
        <f>VLOOKUP(Y225, Lookups!$B$14:$C$21, 2, FALSE)</f>
        <v>Single carriageway</v>
      </c>
      <c r="AA225">
        <v>50</v>
      </c>
      <c r="AB225">
        <v>-1</v>
      </c>
      <c r="AC225">
        <v>0</v>
      </c>
      <c r="AD225">
        <v>-1</v>
      </c>
      <c r="AE225">
        <v>0</v>
      </c>
      <c r="AF225">
        <v>-1</v>
      </c>
      <c r="AG225">
        <v>-1</v>
      </c>
      <c r="AH225">
        <v>-1</v>
      </c>
      <c r="AI225">
        <v>0</v>
      </c>
      <c r="AJ225">
        <v>1</v>
      </c>
      <c r="AK225" t="str">
        <f>VLOOKUP(AJ225, Lookups!$B$23:$C$28, 2, FALSE)</f>
        <v>Daylight</v>
      </c>
      <c r="AL225">
        <v>1</v>
      </c>
      <c r="AM225" t="str">
        <f>VLOOKUP(AL225, Lookups!$B$30:$C$39, 2, FALSE)</f>
        <v>Fine / Clear</v>
      </c>
      <c r="AN225">
        <v>1</v>
      </c>
      <c r="AO225" t="str">
        <f>VLOOKUP(AN225, Lookups!$B$41:$C$49, 2, FALSE)</f>
        <v>Dry</v>
      </c>
      <c r="AP225">
        <v>-1</v>
      </c>
      <c r="AQ225">
        <v>-1</v>
      </c>
      <c r="AR225">
        <v>0</v>
      </c>
      <c r="AS225">
        <v>2</v>
      </c>
      <c r="AT225">
        <v>1</v>
      </c>
      <c r="AU225">
        <v>2</v>
      </c>
      <c r="AV225" t="s">
        <v>195</v>
      </c>
      <c r="AW225">
        <v>1</v>
      </c>
      <c r="AX225">
        <v>1</v>
      </c>
      <c r="AY225">
        <v>0</v>
      </c>
      <c r="AZ225">
        <v>0</v>
      </c>
    </row>
    <row r="226" spans="1:52" x14ac:dyDescent="0.35">
      <c r="A226">
        <v>2025221656082</v>
      </c>
      <c r="B226">
        <v>2025</v>
      </c>
      <c r="C226">
        <v>221656082</v>
      </c>
      <c r="D226">
        <v>396849</v>
      </c>
      <c r="E226">
        <v>272594</v>
      </c>
      <c r="F226">
        <v>-2.0476800000000002</v>
      </c>
      <c r="G226">
        <v>52.351399999999998</v>
      </c>
      <c r="H226">
        <v>22</v>
      </c>
      <c r="I226">
        <v>3</v>
      </c>
      <c r="J226" t="str">
        <f>VLOOKUP(I226, Lookups!$B$1:$C$4, 2, FALSE)</f>
        <v>Slight</v>
      </c>
      <c r="K226">
        <v>2</v>
      </c>
      <c r="L226">
        <v>1</v>
      </c>
      <c r="M226" s="1">
        <v>45947</v>
      </c>
      <c r="N226">
        <v>6</v>
      </c>
      <c r="O226" t="str">
        <f>VLOOKUP(N226, Lookups!$B$6:$C$12, 2, FALSE)</f>
        <v>Friday</v>
      </c>
      <c r="P226" s="2">
        <v>0.69097222222222221</v>
      </c>
      <c r="Q226">
        <v>-1</v>
      </c>
      <c r="R226" t="s">
        <v>47</v>
      </c>
      <c r="S226" t="s">
        <v>45</v>
      </c>
      <c r="T226" t="s">
        <v>45</v>
      </c>
      <c r="U226">
        <v>3</v>
      </c>
      <c r="V226" t="str">
        <f>VLOOKUP(U226, Lookups!$B$51:$C$57, 2, FALSE)</f>
        <v>A</v>
      </c>
      <c r="W226">
        <v>38</v>
      </c>
      <c r="X226" t="str">
        <f t="shared" si="32"/>
        <v>A38</v>
      </c>
      <c r="Y226">
        <v>6</v>
      </c>
      <c r="Z226" t="str">
        <f>VLOOKUP(Y226, Lookups!$B$14:$C$21, 2, FALSE)</f>
        <v>Single carriageway</v>
      </c>
      <c r="AA226">
        <v>40</v>
      </c>
      <c r="AB226">
        <v>-1</v>
      </c>
      <c r="AC226">
        <v>13</v>
      </c>
      <c r="AD226">
        <v>3</v>
      </c>
      <c r="AE226">
        <v>6</v>
      </c>
      <c r="AF226">
        <v>0</v>
      </c>
      <c r="AG226">
        <v>-1</v>
      </c>
      <c r="AH226">
        <v>-1</v>
      </c>
      <c r="AI226">
        <v>0</v>
      </c>
      <c r="AJ226">
        <v>1</v>
      </c>
      <c r="AK226" t="str">
        <f>VLOOKUP(AJ226, Lookups!$B$23:$C$28, 2, FALSE)</f>
        <v>Daylight</v>
      </c>
      <c r="AL226">
        <v>1</v>
      </c>
      <c r="AM226" t="str">
        <f>VLOOKUP(AL226, Lookups!$B$30:$C$39, 2, FALSE)</f>
        <v>Fine / Clear</v>
      </c>
      <c r="AN226">
        <v>1</v>
      </c>
      <c r="AO226" t="str">
        <f>VLOOKUP(AN226, Lookups!$B$41:$C$49, 2, FALSE)</f>
        <v>Dry</v>
      </c>
      <c r="AP226">
        <v>-1</v>
      </c>
      <c r="AQ226">
        <v>-1</v>
      </c>
      <c r="AR226">
        <v>0</v>
      </c>
      <c r="AS226">
        <v>1</v>
      </c>
      <c r="AT226">
        <v>1</v>
      </c>
      <c r="AU226">
        <v>2</v>
      </c>
      <c r="AV226" t="s">
        <v>169</v>
      </c>
      <c r="AW226">
        <v>3</v>
      </c>
      <c r="AX226">
        <v>1</v>
      </c>
      <c r="AY226">
        <v>0</v>
      </c>
      <c r="AZ226">
        <v>1</v>
      </c>
    </row>
    <row r="227" spans="1:52" x14ac:dyDescent="0.35">
      <c r="A227">
        <v>2025221657853</v>
      </c>
      <c r="B227">
        <v>2025</v>
      </c>
      <c r="C227">
        <v>221657853</v>
      </c>
      <c r="D227">
        <v>389793</v>
      </c>
      <c r="E227">
        <v>255085</v>
      </c>
      <c r="F227">
        <v>-2.1507399999999999</v>
      </c>
      <c r="G227">
        <v>52.193910000000002</v>
      </c>
      <c r="H227">
        <v>22</v>
      </c>
      <c r="I227">
        <v>3</v>
      </c>
      <c r="J227" t="str">
        <f>VLOOKUP(I227, Lookups!$B$1:$C$4, 2, FALSE)</f>
        <v>Slight</v>
      </c>
      <c r="K227">
        <v>3</v>
      </c>
      <c r="L227">
        <v>1</v>
      </c>
      <c r="M227" s="1">
        <v>45950</v>
      </c>
      <c r="N227">
        <v>2</v>
      </c>
      <c r="O227" t="str">
        <f>VLOOKUP(N227, Lookups!$B$6:$C$12, 2, FALSE)</f>
        <v>Monday</v>
      </c>
      <c r="P227" s="2">
        <v>0.74583333333333335</v>
      </c>
      <c r="Q227">
        <v>-1</v>
      </c>
      <c r="R227" t="s">
        <v>54</v>
      </c>
      <c r="S227" t="s">
        <v>45</v>
      </c>
      <c r="T227" t="s">
        <v>45</v>
      </c>
      <c r="U227">
        <v>3</v>
      </c>
      <c r="V227" t="str">
        <f>VLOOKUP(U227, Lookups!$B$51:$C$57, 2, FALSE)</f>
        <v>A</v>
      </c>
      <c r="W227">
        <v>4538</v>
      </c>
      <c r="X227" t="str">
        <f t="shared" si="32"/>
        <v>A4538</v>
      </c>
      <c r="Y227">
        <v>6</v>
      </c>
      <c r="Z227" t="str">
        <f>VLOOKUP(Y227, Lookups!$B$14:$C$21, 2, FALSE)</f>
        <v>Single carriageway</v>
      </c>
      <c r="AA227">
        <v>60</v>
      </c>
      <c r="AB227">
        <v>-1</v>
      </c>
      <c r="AC227">
        <v>18</v>
      </c>
      <c r="AD227">
        <v>4</v>
      </c>
      <c r="AE227">
        <v>6</v>
      </c>
      <c r="AF227">
        <v>0</v>
      </c>
      <c r="AG227">
        <v>-1</v>
      </c>
      <c r="AH227">
        <v>-1</v>
      </c>
      <c r="AI227">
        <v>0</v>
      </c>
      <c r="AJ227">
        <v>1</v>
      </c>
      <c r="AK227" t="str">
        <f>VLOOKUP(AJ227, Lookups!$B$23:$C$28, 2, FALSE)</f>
        <v>Daylight</v>
      </c>
      <c r="AL227">
        <v>1</v>
      </c>
      <c r="AM227" t="str">
        <f>VLOOKUP(AL227, Lookups!$B$30:$C$39, 2, FALSE)</f>
        <v>Fine / Clear</v>
      </c>
      <c r="AN227">
        <v>1</v>
      </c>
      <c r="AO227" t="str">
        <f>VLOOKUP(AN227, Lookups!$B$41:$C$49, 2, FALSE)</f>
        <v>Dry</v>
      </c>
      <c r="AP227">
        <v>-1</v>
      </c>
      <c r="AQ227">
        <v>-1</v>
      </c>
      <c r="AR227">
        <v>0</v>
      </c>
      <c r="AS227">
        <v>2</v>
      </c>
      <c r="AT227">
        <v>1</v>
      </c>
      <c r="AU227">
        <v>2</v>
      </c>
      <c r="AV227" t="s">
        <v>55</v>
      </c>
      <c r="AW227">
        <v>3</v>
      </c>
      <c r="AX227">
        <v>1</v>
      </c>
      <c r="AY227">
        <v>0</v>
      </c>
      <c r="AZ227">
        <v>1</v>
      </c>
    </row>
    <row r="228" spans="1:52" x14ac:dyDescent="0.35">
      <c r="A228">
        <v>2025221569171</v>
      </c>
      <c r="B228">
        <v>2025</v>
      </c>
      <c r="C228">
        <v>221569171</v>
      </c>
      <c r="D228">
        <v>394571</v>
      </c>
      <c r="E228">
        <v>268399</v>
      </c>
      <c r="F228">
        <v>-2.0810599999999999</v>
      </c>
      <c r="G228">
        <v>52.313670000000002</v>
      </c>
      <c r="H228">
        <v>22</v>
      </c>
      <c r="I228">
        <v>2</v>
      </c>
      <c r="J228" t="str">
        <f>VLOOKUP(I228, Lookups!$B$1:$C$4, 2, FALSE)</f>
        <v>Serious</v>
      </c>
      <c r="K228">
        <v>2</v>
      </c>
      <c r="L228">
        <v>1</v>
      </c>
      <c r="M228" s="1">
        <v>45741</v>
      </c>
      <c r="N228">
        <v>3</v>
      </c>
      <c r="O228" t="str">
        <f>VLOOKUP(N228, Lookups!$B$6:$C$12, 2, FALSE)</f>
        <v>Tuesday</v>
      </c>
      <c r="P228" s="2">
        <v>0.52083333333333337</v>
      </c>
      <c r="Q228">
        <v>-1</v>
      </c>
      <c r="R228" t="s">
        <v>47</v>
      </c>
      <c r="S228" t="s">
        <v>45</v>
      </c>
      <c r="T228" t="s">
        <v>45</v>
      </c>
      <c r="U228">
        <v>3</v>
      </c>
      <c r="V228" t="str">
        <f>VLOOKUP(U228, Lookups!$B$51:$C$57, 2, FALSE)</f>
        <v>A</v>
      </c>
      <c r="W228">
        <v>38</v>
      </c>
      <c r="X228" t="str">
        <f t="shared" si="32"/>
        <v>A38</v>
      </c>
      <c r="Y228">
        <v>6</v>
      </c>
      <c r="Z228" t="str">
        <f>VLOOKUP(Y228, Lookups!$B$14:$C$21, 2, FALSE)</f>
        <v>Single carriageway</v>
      </c>
      <c r="AA228">
        <v>40</v>
      </c>
      <c r="AB228">
        <v>-1</v>
      </c>
      <c r="AC228">
        <v>0</v>
      </c>
      <c r="AD228">
        <v>-1</v>
      </c>
      <c r="AE228">
        <v>6</v>
      </c>
      <c r="AF228">
        <v>0</v>
      </c>
      <c r="AG228">
        <v>-1</v>
      </c>
      <c r="AH228">
        <v>-1</v>
      </c>
      <c r="AI228">
        <v>0</v>
      </c>
      <c r="AJ228">
        <v>1</v>
      </c>
      <c r="AK228" t="str">
        <f>VLOOKUP(AJ228, Lookups!$B$23:$C$28, 2, FALSE)</f>
        <v>Daylight</v>
      </c>
      <c r="AL228">
        <v>1</v>
      </c>
      <c r="AM228" t="str">
        <f>VLOOKUP(AL228, Lookups!$B$30:$C$39, 2, FALSE)</f>
        <v>Fine / Clear</v>
      </c>
      <c r="AN228">
        <v>1</v>
      </c>
      <c r="AO228" t="str">
        <f>VLOOKUP(AN228, Lookups!$B$41:$C$49, 2, FALSE)</f>
        <v>Dry</v>
      </c>
      <c r="AP228">
        <v>-1</v>
      </c>
      <c r="AQ228">
        <v>-1</v>
      </c>
      <c r="AR228">
        <v>0</v>
      </c>
      <c r="AS228">
        <v>1</v>
      </c>
      <c r="AT228">
        <v>3</v>
      </c>
      <c r="AU228">
        <v>2</v>
      </c>
      <c r="AV228" t="s">
        <v>127</v>
      </c>
      <c r="AW228">
        <v>5</v>
      </c>
      <c r="AX228">
        <v>1</v>
      </c>
      <c r="AY228">
        <v>1</v>
      </c>
      <c r="AZ228">
        <v>0</v>
      </c>
    </row>
    <row r="229" spans="1:52" x14ac:dyDescent="0.35">
      <c r="A229">
        <v>2025221636040</v>
      </c>
      <c r="B229">
        <v>2025</v>
      </c>
      <c r="C229">
        <v>221636040</v>
      </c>
      <c r="D229">
        <v>376661</v>
      </c>
      <c r="E229">
        <v>259764</v>
      </c>
      <c r="F229">
        <v>-2.3431700000000002</v>
      </c>
      <c r="G229">
        <v>52.235570000000003</v>
      </c>
      <c r="H229">
        <v>22</v>
      </c>
      <c r="I229">
        <v>2</v>
      </c>
      <c r="J229" t="str">
        <f>VLOOKUP(I229, Lookups!$B$1:$C$4, 2, FALSE)</f>
        <v>Serious</v>
      </c>
      <c r="K229">
        <v>1</v>
      </c>
      <c r="L229">
        <v>3</v>
      </c>
      <c r="M229" s="1">
        <v>45901</v>
      </c>
      <c r="N229">
        <v>2</v>
      </c>
      <c r="O229" t="str">
        <f>VLOOKUP(N229, Lookups!$B$6:$C$12, 2, FALSE)</f>
        <v>Monday</v>
      </c>
      <c r="P229" s="2">
        <v>0.10902777777777778</v>
      </c>
      <c r="Q229">
        <v>-1</v>
      </c>
      <c r="R229" t="s">
        <v>49</v>
      </c>
      <c r="S229" t="s">
        <v>45</v>
      </c>
      <c r="T229" t="s">
        <v>45</v>
      </c>
      <c r="U229">
        <v>4</v>
      </c>
      <c r="V229" t="str">
        <f>VLOOKUP(U229, Lookups!$B$51:$C$57, 2, FALSE)</f>
        <v>B</v>
      </c>
      <c r="W229">
        <v>4204</v>
      </c>
      <c r="X229" t="str">
        <f t="shared" si="32"/>
        <v>B4204</v>
      </c>
      <c r="Y229">
        <v>6</v>
      </c>
      <c r="Z229" t="str">
        <f>VLOOKUP(Y229, Lookups!$B$14:$C$21, 2, FALSE)</f>
        <v>Single carriageway</v>
      </c>
      <c r="AA229">
        <v>50</v>
      </c>
      <c r="AB229">
        <v>-1</v>
      </c>
      <c r="AC229">
        <v>0</v>
      </c>
      <c r="AD229">
        <v>-1</v>
      </c>
      <c r="AE229">
        <v>0</v>
      </c>
      <c r="AF229">
        <v>-1</v>
      </c>
      <c r="AG229">
        <v>-1</v>
      </c>
      <c r="AH229">
        <v>-1</v>
      </c>
      <c r="AI229">
        <v>0</v>
      </c>
      <c r="AJ229">
        <v>6</v>
      </c>
      <c r="AK229" t="str">
        <f>VLOOKUP(AJ229, Lookups!$B$23:$C$28, 2, FALSE)</f>
        <v>Darkness (Unlit)</v>
      </c>
      <c r="AL229">
        <v>1</v>
      </c>
      <c r="AM229" t="str">
        <f>VLOOKUP(AL229, Lookups!$B$30:$C$39, 2, FALSE)</f>
        <v>Fine / Clear</v>
      </c>
      <c r="AN229">
        <v>2</v>
      </c>
      <c r="AO229" t="str">
        <f>VLOOKUP(AN229, Lookups!$B$41:$C$49, 2, FALSE)</f>
        <v>Wet / damp</v>
      </c>
      <c r="AP229">
        <v>-1</v>
      </c>
      <c r="AQ229">
        <v>-1</v>
      </c>
      <c r="AR229">
        <v>0</v>
      </c>
      <c r="AS229">
        <v>2</v>
      </c>
      <c r="AT229">
        <v>1</v>
      </c>
      <c r="AU229">
        <v>2</v>
      </c>
      <c r="AV229" t="s">
        <v>78</v>
      </c>
      <c r="AW229">
        <v>6</v>
      </c>
      <c r="AX229">
        <v>1</v>
      </c>
      <c r="AY229">
        <v>1</v>
      </c>
      <c r="AZ229">
        <v>0</v>
      </c>
    </row>
    <row r="230" spans="1:52" x14ac:dyDescent="0.35">
      <c r="A230">
        <v>2025221651893</v>
      </c>
      <c r="B230">
        <v>2025</v>
      </c>
      <c r="C230">
        <v>221651893</v>
      </c>
      <c r="D230">
        <v>394684</v>
      </c>
      <c r="E230">
        <v>271005</v>
      </c>
      <c r="F230">
        <v>-2.07944</v>
      </c>
      <c r="G230">
        <v>52.3371</v>
      </c>
      <c r="H230">
        <v>22</v>
      </c>
      <c r="I230">
        <v>3</v>
      </c>
      <c r="J230" t="str">
        <f>VLOOKUP(I230, Lookups!$B$1:$C$4, 2, FALSE)</f>
        <v>Slight</v>
      </c>
      <c r="K230">
        <v>3</v>
      </c>
      <c r="L230">
        <v>3</v>
      </c>
      <c r="M230" s="1">
        <v>45934</v>
      </c>
      <c r="N230">
        <v>7</v>
      </c>
      <c r="O230" t="str">
        <f>VLOOKUP(N230, Lookups!$B$6:$C$12, 2, FALSE)</f>
        <v>Saturday</v>
      </c>
      <c r="P230" s="2">
        <v>0.70763888888888893</v>
      </c>
      <c r="Q230">
        <v>-1</v>
      </c>
      <c r="R230" t="s">
        <v>47</v>
      </c>
      <c r="S230" t="s">
        <v>45</v>
      </c>
      <c r="T230" t="s">
        <v>45</v>
      </c>
      <c r="U230">
        <v>3</v>
      </c>
      <c r="V230" t="str">
        <f>VLOOKUP(U230, Lookups!$B$51:$C$57, 2, FALSE)</f>
        <v>A</v>
      </c>
      <c r="W230">
        <v>448</v>
      </c>
      <c r="X230" t="str">
        <f t="shared" si="32"/>
        <v>A448</v>
      </c>
      <c r="Y230">
        <v>6</v>
      </c>
      <c r="Z230" t="str">
        <f>VLOOKUP(Y230, Lookups!$B$14:$C$21, 2, FALSE)</f>
        <v>Single carriageway</v>
      </c>
      <c r="AA230">
        <v>30</v>
      </c>
      <c r="AB230">
        <v>-1</v>
      </c>
      <c r="AC230">
        <v>16</v>
      </c>
      <c r="AD230">
        <v>4</v>
      </c>
      <c r="AE230">
        <v>6</v>
      </c>
      <c r="AF230">
        <v>0</v>
      </c>
      <c r="AG230">
        <v>-1</v>
      </c>
      <c r="AH230">
        <v>-1</v>
      </c>
      <c r="AI230">
        <v>0</v>
      </c>
      <c r="AJ230">
        <v>1</v>
      </c>
      <c r="AK230" t="str">
        <f>VLOOKUP(AJ230, Lookups!$B$23:$C$28, 2, FALSE)</f>
        <v>Daylight</v>
      </c>
      <c r="AL230">
        <v>1</v>
      </c>
      <c r="AM230" t="str">
        <f>VLOOKUP(AL230, Lookups!$B$30:$C$39, 2, FALSE)</f>
        <v>Fine / Clear</v>
      </c>
      <c r="AN230">
        <v>1</v>
      </c>
      <c r="AO230" t="str">
        <f>VLOOKUP(AN230, Lookups!$B$41:$C$49, 2, FALSE)</f>
        <v>Dry</v>
      </c>
      <c r="AP230">
        <v>-1</v>
      </c>
      <c r="AQ230">
        <v>-1</v>
      </c>
      <c r="AR230">
        <v>0</v>
      </c>
      <c r="AS230">
        <v>1</v>
      </c>
      <c r="AT230">
        <v>1</v>
      </c>
      <c r="AU230">
        <v>2</v>
      </c>
      <c r="AV230" t="s">
        <v>196</v>
      </c>
      <c r="AW230">
        <v>3</v>
      </c>
      <c r="AX230">
        <v>1</v>
      </c>
      <c r="AY230">
        <v>0</v>
      </c>
      <c r="AZ230">
        <v>1</v>
      </c>
    </row>
    <row r="231" spans="1:52" x14ac:dyDescent="0.35">
      <c r="A231">
        <v>2025221542544</v>
      </c>
      <c r="B231">
        <v>2025</v>
      </c>
      <c r="C231">
        <v>221542544</v>
      </c>
      <c r="D231">
        <v>382658</v>
      </c>
      <c r="E231">
        <v>263559</v>
      </c>
      <c r="F231">
        <v>-2.25556</v>
      </c>
      <c r="G231">
        <v>52.269910000000003</v>
      </c>
      <c r="H231">
        <v>22</v>
      </c>
      <c r="I231">
        <v>3</v>
      </c>
      <c r="J231" t="str">
        <f>VLOOKUP(I231, Lookups!$B$1:$C$4, 2, FALSE)</f>
        <v>Slight</v>
      </c>
      <c r="K231">
        <v>1</v>
      </c>
      <c r="L231">
        <v>1</v>
      </c>
      <c r="M231" s="1">
        <v>45669</v>
      </c>
      <c r="N231">
        <v>1</v>
      </c>
      <c r="O231" t="str">
        <f>VLOOKUP(N231, Lookups!$B$6:$C$12, 2, FALSE)</f>
        <v>Sunday</v>
      </c>
      <c r="P231" s="2">
        <v>0.77083333333333337</v>
      </c>
      <c r="Q231">
        <v>-1</v>
      </c>
      <c r="R231" t="s">
        <v>54</v>
      </c>
      <c r="S231" t="s">
        <v>45</v>
      </c>
      <c r="T231" t="s">
        <v>45</v>
      </c>
      <c r="U231">
        <v>3</v>
      </c>
      <c r="V231" t="str">
        <f>VLOOKUP(U231, Lookups!$B$51:$C$57, 2, FALSE)</f>
        <v>A</v>
      </c>
      <c r="W231">
        <v>4133</v>
      </c>
      <c r="X231" t="str">
        <f t="shared" si="32"/>
        <v>A4133</v>
      </c>
      <c r="Y231">
        <v>6</v>
      </c>
      <c r="Z231" t="str">
        <f>VLOOKUP(Y231, Lookups!$B$14:$C$21, 2, FALSE)</f>
        <v>Single carriageway</v>
      </c>
      <c r="AA231">
        <v>40</v>
      </c>
      <c r="AB231">
        <v>-1</v>
      </c>
      <c r="AC231">
        <v>0</v>
      </c>
      <c r="AD231">
        <v>-1</v>
      </c>
      <c r="AE231">
        <v>0</v>
      </c>
      <c r="AF231">
        <v>-1</v>
      </c>
      <c r="AG231">
        <v>-1</v>
      </c>
      <c r="AH231">
        <v>-1</v>
      </c>
      <c r="AI231">
        <v>0</v>
      </c>
      <c r="AJ231">
        <v>6</v>
      </c>
      <c r="AK231" t="str">
        <f>VLOOKUP(AJ231, Lookups!$B$23:$C$28, 2, FALSE)</f>
        <v>Darkness (Unlit)</v>
      </c>
      <c r="AL231">
        <v>1</v>
      </c>
      <c r="AM231" t="str">
        <f>VLOOKUP(AL231, Lookups!$B$30:$C$39, 2, FALSE)</f>
        <v>Fine / Clear</v>
      </c>
      <c r="AN231">
        <v>2</v>
      </c>
      <c r="AO231" t="str">
        <f>VLOOKUP(AN231, Lookups!$B$41:$C$49, 2, FALSE)</f>
        <v>Wet / damp</v>
      </c>
      <c r="AP231">
        <v>-1</v>
      </c>
      <c r="AQ231">
        <v>-1</v>
      </c>
      <c r="AR231">
        <v>0</v>
      </c>
      <c r="AS231">
        <v>2</v>
      </c>
      <c r="AT231">
        <v>1</v>
      </c>
      <c r="AU231">
        <v>2</v>
      </c>
      <c r="AV231" t="s">
        <v>124</v>
      </c>
      <c r="AW231">
        <v>3</v>
      </c>
      <c r="AX231">
        <v>1</v>
      </c>
      <c r="AY231">
        <v>0</v>
      </c>
      <c r="AZ231">
        <v>1</v>
      </c>
    </row>
    <row r="232" spans="1:52" x14ac:dyDescent="0.35">
      <c r="A232">
        <v>2025221575462</v>
      </c>
      <c r="B232">
        <v>2025</v>
      </c>
      <c r="C232">
        <v>221575462</v>
      </c>
      <c r="D232">
        <v>382685</v>
      </c>
      <c r="E232">
        <v>255079</v>
      </c>
      <c r="F232">
        <v>-2.2547199999999998</v>
      </c>
      <c r="G232">
        <v>52.193669999999997</v>
      </c>
      <c r="H232">
        <v>22</v>
      </c>
      <c r="I232">
        <v>3</v>
      </c>
      <c r="J232" t="str">
        <f>VLOOKUP(I232, Lookups!$B$1:$C$4, 2, FALSE)</f>
        <v>Slight</v>
      </c>
      <c r="K232">
        <v>2</v>
      </c>
      <c r="L232">
        <v>1</v>
      </c>
      <c r="M232" s="1">
        <v>45755</v>
      </c>
      <c r="N232">
        <v>3</v>
      </c>
      <c r="O232" t="str">
        <f>VLOOKUP(N232, Lookups!$B$6:$C$12, 2, FALSE)</f>
        <v>Tuesday</v>
      </c>
      <c r="P232" s="2">
        <v>0.72916666666666663</v>
      </c>
      <c r="Q232">
        <v>-1</v>
      </c>
      <c r="R232" t="s">
        <v>60</v>
      </c>
      <c r="S232" t="s">
        <v>45</v>
      </c>
      <c r="T232" t="s">
        <v>45</v>
      </c>
      <c r="U232">
        <v>6</v>
      </c>
      <c r="V232" t="str">
        <f>VLOOKUP(U232, Lookups!$B$51:$C$57, 2, FALSE)</f>
        <v>Unclassified</v>
      </c>
      <c r="W232">
        <v>0</v>
      </c>
      <c r="X232" t="s">
        <v>362</v>
      </c>
      <c r="Y232">
        <v>6</v>
      </c>
      <c r="Z232" t="str">
        <f>VLOOKUP(Y232, Lookups!$B$14:$C$21, 2, FALSE)</f>
        <v>Single carriageway</v>
      </c>
      <c r="AA232">
        <v>30</v>
      </c>
      <c r="AB232">
        <v>-1</v>
      </c>
      <c r="AC232">
        <v>13</v>
      </c>
      <c r="AD232">
        <v>4</v>
      </c>
      <c r="AE232">
        <v>6</v>
      </c>
      <c r="AF232">
        <v>0</v>
      </c>
      <c r="AG232">
        <v>-1</v>
      </c>
      <c r="AH232">
        <v>-1</v>
      </c>
      <c r="AI232">
        <v>0</v>
      </c>
      <c r="AJ232">
        <v>1</v>
      </c>
      <c r="AK232" t="str">
        <f>VLOOKUP(AJ232, Lookups!$B$23:$C$28, 2, FALSE)</f>
        <v>Daylight</v>
      </c>
      <c r="AL232">
        <v>1</v>
      </c>
      <c r="AM232" t="str">
        <f>VLOOKUP(AL232, Lookups!$B$30:$C$39, 2, FALSE)</f>
        <v>Fine / Clear</v>
      </c>
      <c r="AN232">
        <v>1</v>
      </c>
      <c r="AO232" t="str">
        <f>VLOOKUP(AN232, Lookups!$B$41:$C$49, 2, FALSE)</f>
        <v>Dry</v>
      </c>
      <c r="AP232">
        <v>-1</v>
      </c>
      <c r="AQ232">
        <v>-1</v>
      </c>
      <c r="AR232">
        <v>0</v>
      </c>
      <c r="AS232">
        <v>1</v>
      </c>
      <c r="AT232">
        <v>3</v>
      </c>
      <c r="AU232">
        <v>2</v>
      </c>
      <c r="AV232" t="s">
        <v>197</v>
      </c>
      <c r="AW232">
        <v>3</v>
      </c>
      <c r="AX232">
        <v>1</v>
      </c>
      <c r="AY232">
        <v>0</v>
      </c>
      <c r="AZ232">
        <v>1</v>
      </c>
    </row>
    <row r="233" spans="1:52" x14ac:dyDescent="0.35">
      <c r="A233">
        <v>2025221590709</v>
      </c>
      <c r="B233">
        <v>2025</v>
      </c>
      <c r="C233">
        <v>221590709</v>
      </c>
      <c r="D233">
        <v>387484</v>
      </c>
      <c r="E233">
        <v>253357</v>
      </c>
      <c r="F233">
        <v>-2.18445</v>
      </c>
      <c r="G233">
        <v>52.178319999999999</v>
      </c>
      <c r="H233">
        <v>22</v>
      </c>
      <c r="I233">
        <v>3</v>
      </c>
      <c r="J233" t="str">
        <f>VLOOKUP(I233, Lookups!$B$1:$C$4, 2, FALSE)</f>
        <v>Slight</v>
      </c>
      <c r="K233">
        <v>2</v>
      </c>
      <c r="L233">
        <v>2</v>
      </c>
      <c r="M233" s="1">
        <v>45792</v>
      </c>
      <c r="N233">
        <v>5</v>
      </c>
      <c r="O233" t="str">
        <f>VLOOKUP(N233, Lookups!$B$6:$C$12, 2, FALSE)</f>
        <v>Thursday</v>
      </c>
      <c r="P233" s="2">
        <v>0.68125000000000002</v>
      </c>
      <c r="Q233">
        <v>-1</v>
      </c>
      <c r="R233" t="s">
        <v>54</v>
      </c>
      <c r="S233" t="s">
        <v>45</v>
      </c>
      <c r="T233" t="s">
        <v>45</v>
      </c>
      <c r="U233">
        <v>3</v>
      </c>
      <c r="V233" t="str">
        <f>VLOOKUP(U233, Lookups!$B$51:$C$57, 2, FALSE)</f>
        <v>A</v>
      </c>
      <c r="W233">
        <v>4440</v>
      </c>
      <c r="X233" t="str">
        <f t="shared" ref="X233:X236" si="33">V233&amp;W233</f>
        <v>A4440</v>
      </c>
      <c r="Y233">
        <v>3</v>
      </c>
      <c r="Z233" t="str">
        <f>VLOOKUP(Y233, Lookups!$B$14:$C$21, 2, FALSE)</f>
        <v>Dual carriageway</v>
      </c>
      <c r="AA233">
        <v>70</v>
      </c>
      <c r="AB233">
        <v>-1</v>
      </c>
      <c r="AC233">
        <v>0</v>
      </c>
      <c r="AD233">
        <v>-1</v>
      </c>
      <c r="AE233">
        <v>6</v>
      </c>
      <c r="AF233">
        <v>0</v>
      </c>
      <c r="AG233">
        <v>-1</v>
      </c>
      <c r="AH233">
        <v>-1</v>
      </c>
      <c r="AI233">
        <v>15</v>
      </c>
      <c r="AJ233">
        <v>1</v>
      </c>
      <c r="AK233" t="str">
        <f>VLOOKUP(AJ233, Lookups!$B$23:$C$28, 2, FALSE)</f>
        <v>Daylight</v>
      </c>
      <c r="AL233">
        <v>1</v>
      </c>
      <c r="AM233" t="str">
        <f>VLOOKUP(AL233, Lookups!$B$30:$C$39, 2, FALSE)</f>
        <v>Fine / Clear</v>
      </c>
      <c r="AN233">
        <v>1</v>
      </c>
      <c r="AO233" t="str">
        <f>VLOOKUP(AN233, Lookups!$B$41:$C$49, 2, FALSE)</f>
        <v>Dry</v>
      </c>
      <c r="AP233">
        <v>-1</v>
      </c>
      <c r="AQ233">
        <v>-1</v>
      </c>
      <c r="AR233">
        <v>0</v>
      </c>
      <c r="AS233">
        <v>2</v>
      </c>
      <c r="AT233">
        <v>3</v>
      </c>
      <c r="AU233">
        <v>2</v>
      </c>
      <c r="AV233" t="s">
        <v>132</v>
      </c>
      <c r="AW233">
        <v>3</v>
      </c>
      <c r="AX233">
        <v>1</v>
      </c>
      <c r="AY233">
        <v>0</v>
      </c>
      <c r="AZ233">
        <v>1</v>
      </c>
    </row>
    <row r="234" spans="1:52" x14ac:dyDescent="0.35">
      <c r="A234">
        <v>2025221649643</v>
      </c>
      <c r="B234">
        <v>2025</v>
      </c>
      <c r="C234">
        <v>221649643</v>
      </c>
      <c r="D234">
        <v>396707</v>
      </c>
      <c r="E234">
        <v>269763</v>
      </c>
      <c r="F234">
        <v>-2.0497399999999999</v>
      </c>
      <c r="G234">
        <v>52.325949999999999</v>
      </c>
      <c r="H234">
        <v>22</v>
      </c>
      <c r="I234">
        <v>3</v>
      </c>
      <c r="J234" t="str">
        <f>VLOOKUP(I234, Lookups!$B$1:$C$4, 2, FALSE)</f>
        <v>Slight</v>
      </c>
      <c r="K234">
        <v>2</v>
      </c>
      <c r="L234">
        <v>2</v>
      </c>
      <c r="M234" s="1">
        <v>45932</v>
      </c>
      <c r="N234">
        <v>5</v>
      </c>
      <c r="O234" t="str">
        <f>VLOOKUP(N234, Lookups!$B$6:$C$12, 2, FALSE)</f>
        <v>Thursday</v>
      </c>
      <c r="P234" s="2">
        <v>0.51527777777777772</v>
      </c>
      <c r="Q234">
        <v>-1</v>
      </c>
      <c r="R234" t="s">
        <v>47</v>
      </c>
      <c r="S234" t="s">
        <v>45</v>
      </c>
      <c r="T234" t="s">
        <v>45</v>
      </c>
      <c r="U234">
        <v>4</v>
      </c>
      <c r="V234" t="str">
        <f>VLOOKUP(U234, Lookups!$B$51:$C$57, 2, FALSE)</f>
        <v>B</v>
      </c>
      <c r="W234">
        <v>4184</v>
      </c>
      <c r="X234" t="str">
        <f t="shared" si="33"/>
        <v>B4184</v>
      </c>
      <c r="Y234">
        <v>6</v>
      </c>
      <c r="Z234" t="str">
        <f>VLOOKUP(Y234, Lookups!$B$14:$C$21, 2, FALSE)</f>
        <v>Single carriageway</v>
      </c>
      <c r="AA234">
        <v>30</v>
      </c>
      <c r="AB234">
        <v>-1</v>
      </c>
      <c r="AC234">
        <v>0</v>
      </c>
      <c r="AD234">
        <v>-1</v>
      </c>
      <c r="AE234">
        <v>6</v>
      </c>
      <c r="AF234">
        <v>0</v>
      </c>
      <c r="AG234">
        <v>-1</v>
      </c>
      <c r="AH234">
        <v>-1</v>
      </c>
      <c r="AI234">
        <v>0</v>
      </c>
      <c r="AJ234">
        <v>1</v>
      </c>
      <c r="AK234" t="str">
        <f>VLOOKUP(AJ234, Lookups!$B$23:$C$28, 2, FALSE)</f>
        <v>Daylight</v>
      </c>
      <c r="AL234">
        <v>1</v>
      </c>
      <c r="AM234" t="str">
        <f>VLOOKUP(AL234, Lookups!$B$30:$C$39, 2, FALSE)</f>
        <v>Fine / Clear</v>
      </c>
      <c r="AN234">
        <v>1</v>
      </c>
      <c r="AO234" t="str">
        <f>VLOOKUP(AN234, Lookups!$B$41:$C$49, 2, FALSE)</f>
        <v>Dry</v>
      </c>
      <c r="AP234">
        <v>-1</v>
      </c>
      <c r="AQ234">
        <v>-1</v>
      </c>
      <c r="AR234">
        <v>0</v>
      </c>
      <c r="AS234">
        <v>1</v>
      </c>
      <c r="AT234">
        <v>1</v>
      </c>
      <c r="AU234">
        <v>2</v>
      </c>
      <c r="AV234" t="s">
        <v>198</v>
      </c>
      <c r="AW234">
        <v>3</v>
      </c>
      <c r="AX234">
        <v>1</v>
      </c>
      <c r="AY234">
        <v>0</v>
      </c>
      <c r="AZ234">
        <v>1</v>
      </c>
    </row>
    <row r="235" spans="1:52" x14ac:dyDescent="0.35">
      <c r="A235">
        <v>2025221684672</v>
      </c>
      <c r="B235">
        <v>2025</v>
      </c>
      <c r="C235">
        <v>221684672</v>
      </c>
      <c r="D235">
        <v>392919</v>
      </c>
      <c r="E235">
        <v>266963</v>
      </c>
      <c r="F235">
        <v>-2.1052599999999999</v>
      </c>
      <c r="G235">
        <v>52.300739999999998</v>
      </c>
      <c r="H235">
        <v>22</v>
      </c>
      <c r="I235">
        <v>2</v>
      </c>
      <c r="J235" t="str">
        <f>VLOOKUP(I235, Lookups!$B$1:$C$4, 2, FALSE)</f>
        <v>Serious</v>
      </c>
      <c r="K235">
        <v>2</v>
      </c>
      <c r="L235">
        <v>1</v>
      </c>
      <c r="M235" s="1">
        <v>46009</v>
      </c>
      <c r="N235">
        <v>5</v>
      </c>
      <c r="O235" t="str">
        <f>VLOOKUP(N235, Lookups!$B$6:$C$12, 2, FALSE)</f>
        <v>Thursday</v>
      </c>
      <c r="P235" s="2">
        <v>0.17222222222222222</v>
      </c>
      <c r="Q235">
        <v>-1</v>
      </c>
      <c r="R235" t="s">
        <v>54</v>
      </c>
      <c r="S235" t="s">
        <v>45</v>
      </c>
      <c r="T235" t="s">
        <v>45</v>
      </c>
      <c r="U235">
        <v>3</v>
      </c>
      <c r="V235" t="str">
        <f>VLOOKUP(U235, Lookups!$B$51:$C$57, 2, FALSE)</f>
        <v>A</v>
      </c>
      <c r="W235">
        <v>38</v>
      </c>
      <c r="X235" t="str">
        <f t="shared" si="33"/>
        <v>A38</v>
      </c>
      <c r="Y235">
        <v>6</v>
      </c>
      <c r="Z235" t="str">
        <f>VLOOKUP(Y235, Lookups!$B$14:$C$21, 2, FALSE)</f>
        <v>Single carriageway</v>
      </c>
      <c r="AA235">
        <v>50</v>
      </c>
      <c r="AB235">
        <v>-1</v>
      </c>
      <c r="AC235">
        <v>0</v>
      </c>
      <c r="AD235">
        <v>-1</v>
      </c>
      <c r="AE235">
        <v>0</v>
      </c>
      <c r="AF235">
        <v>-1</v>
      </c>
      <c r="AG235">
        <v>-1</v>
      </c>
      <c r="AH235">
        <v>-1</v>
      </c>
      <c r="AI235">
        <v>0</v>
      </c>
      <c r="AJ235">
        <v>4</v>
      </c>
      <c r="AK235" t="str">
        <f>VLOOKUP(AJ235, Lookups!$B$23:$C$28, 2, FALSE)</f>
        <v>Darkness (Lit)</v>
      </c>
      <c r="AL235">
        <v>2</v>
      </c>
      <c r="AM235" t="str">
        <f>VLOOKUP(AL235, Lookups!$B$30:$C$39, 2, FALSE)</f>
        <v>Rain</v>
      </c>
      <c r="AN235">
        <v>2</v>
      </c>
      <c r="AO235" t="str">
        <f>VLOOKUP(AN235, Lookups!$B$41:$C$49, 2, FALSE)</f>
        <v>Wet / damp</v>
      </c>
      <c r="AP235">
        <v>-1</v>
      </c>
      <c r="AQ235">
        <v>-1</v>
      </c>
      <c r="AR235">
        <v>0</v>
      </c>
      <c r="AS235">
        <v>2</v>
      </c>
      <c r="AT235">
        <v>1</v>
      </c>
      <c r="AU235">
        <v>2</v>
      </c>
      <c r="AV235" t="s">
        <v>199</v>
      </c>
      <c r="AW235">
        <v>5</v>
      </c>
      <c r="AX235">
        <v>1</v>
      </c>
      <c r="AY235">
        <v>1</v>
      </c>
      <c r="AZ235">
        <v>0</v>
      </c>
    </row>
    <row r="236" spans="1:52" x14ac:dyDescent="0.35">
      <c r="A236">
        <v>2025221685146</v>
      </c>
      <c r="B236">
        <v>2025</v>
      </c>
      <c r="C236">
        <v>221685146</v>
      </c>
      <c r="D236">
        <v>403110</v>
      </c>
      <c r="E236">
        <v>274836</v>
      </c>
      <c r="F236">
        <v>-1.95574</v>
      </c>
      <c r="G236">
        <v>52.371560000000002</v>
      </c>
      <c r="H236">
        <v>22</v>
      </c>
      <c r="I236">
        <v>3</v>
      </c>
      <c r="J236" t="str">
        <f>VLOOKUP(I236, Lookups!$B$1:$C$4, 2, FALSE)</f>
        <v>Slight</v>
      </c>
      <c r="K236">
        <v>2</v>
      </c>
      <c r="L236">
        <v>1</v>
      </c>
      <c r="M236" s="1">
        <v>46009</v>
      </c>
      <c r="N236">
        <v>5</v>
      </c>
      <c r="O236" t="str">
        <f>VLOOKUP(N236, Lookups!$B$6:$C$12, 2, FALSE)</f>
        <v>Thursday</v>
      </c>
      <c r="P236" s="2">
        <v>0.19097222222222221</v>
      </c>
      <c r="Q236">
        <v>-1</v>
      </c>
      <c r="R236" t="s">
        <v>47</v>
      </c>
      <c r="S236" t="s">
        <v>45</v>
      </c>
      <c r="T236" t="s">
        <v>45</v>
      </c>
      <c r="U236">
        <v>3</v>
      </c>
      <c r="V236" t="str">
        <f>VLOOKUP(U236, Lookups!$B$51:$C$57, 2, FALSE)</f>
        <v>A</v>
      </c>
      <c r="W236">
        <v>441</v>
      </c>
      <c r="X236" t="str">
        <f t="shared" si="33"/>
        <v>A441</v>
      </c>
      <c r="Y236">
        <v>6</v>
      </c>
      <c r="Z236" t="str">
        <f>VLOOKUP(Y236, Lookups!$B$14:$C$21, 2, FALSE)</f>
        <v>Single carriageway</v>
      </c>
      <c r="AA236">
        <v>40</v>
      </c>
      <c r="AB236">
        <v>-1</v>
      </c>
      <c r="AC236">
        <v>19</v>
      </c>
      <c r="AD236">
        <v>4</v>
      </c>
      <c r="AE236">
        <v>6</v>
      </c>
      <c r="AF236">
        <v>0</v>
      </c>
      <c r="AG236">
        <v>-1</v>
      </c>
      <c r="AH236">
        <v>-1</v>
      </c>
      <c r="AI236">
        <v>0</v>
      </c>
      <c r="AJ236">
        <v>4</v>
      </c>
      <c r="AK236" t="str">
        <f>VLOOKUP(AJ236, Lookups!$B$23:$C$28, 2, FALSE)</f>
        <v>Darkness (Lit)</v>
      </c>
      <c r="AL236">
        <v>1</v>
      </c>
      <c r="AM236" t="str">
        <f>VLOOKUP(AL236, Lookups!$B$30:$C$39, 2, FALSE)</f>
        <v>Fine / Clear</v>
      </c>
      <c r="AN236">
        <v>2</v>
      </c>
      <c r="AO236" t="str">
        <f>VLOOKUP(AN236, Lookups!$B$41:$C$49, 2, FALSE)</f>
        <v>Wet / damp</v>
      </c>
      <c r="AP236">
        <v>-1</v>
      </c>
      <c r="AQ236">
        <v>-1</v>
      </c>
      <c r="AR236">
        <v>0</v>
      </c>
      <c r="AS236">
        <v>2</v>
      </c>
      <c r="AT236">
        <v>1</v>
      </c>
      <c r="AU236">
        <v>2</v>
      </c>
      <c r="AV236" t="s">
        <v>77</v>
      </c>
      <c r="AW236">
        <v>3</v>
      </c>
      <c r="AX236">
        <v>1</v>
      </c>
      <c r="AY236">
        <v>0</v>
      </c>
      <c r="AZ236">
        <v>1</v>
      </c>
    </row>
    <row r="237" spans="1:52" x14ac:dyDescent="0.35">
      <c r="A237">
        <v>2025221572554</v>
      </c>
      <c r="B237">
        <v>2025</v>
      </c>
      <c r="C237">
        <v>221572554</v>
      </c>
      <c r="D237">
        <v>389119</v>
      </c>
      <c r="E237">
        <v>263488</v>
      </c>
      <c r="F237">
        <v>-2.1608700000000001</v>
      </c>
      <c r="G237">
        <v>52.269440000000003</v>
      </c>
      <c r="H237">
        <v>22</v>
      </c>
      <c r="I237">
        <v>3</v>
      </c>
      <c r="J237" t="str">
        <f>VLOOKUP(I237, Lookups!$B$1:$C$4, 2, FALSE)</f>
        <v>Slight</v>
      </c>
      <c r="K237">
        <v>2</v>
      </c>
      <c r="L237">
        <v>1</v>
      </c>
      <c r="M237" s="1">
        <v>45741</v>
      </c>
      <c r="N237">
        <v>3</v>
      </c>
      <c r="O237" t="str">
        <f>VLOOKUP(N237, Lookups!$B$6:$C$12, 2, FALSE)</f>
        <v>Tuesday</v>
      </c>
      <c r="P237" s="2">
        <v>0.79166666666666663</v>
      </c>
      <c r="Q237">
        <v>-1</v>
      </c>
      <c r="R237" t="s">
        <v>54</v>
      </c>
      <c r="S237" t="s">
        <v>45</v>
      </c>
      <c r="T237" t="s">
        <v>45</v>
      </c>
      <c r="U237">
        <v>6</v>
      </c>
      <c r="V237" t="str">
        <f>VLOOKUP(U237, Lookups!$B$51:$C$57, 2, FALSE)</f>
        <v>Unclassified</v>
      </c>
      <c r="W237">
        <v>0</v>
      </c>
      <c r="X237" t="s">
        <v>362</v>
      </c>
      <c r="Y237">
        <v>6</v>
      </c>
      <c r="Z237" t="str">
        <f>VLOOKUP(Y237, Lookups!$B$14:$C$21, 2, FALSE)</f>
        <v>Single carriageway</v>
      </c>
      <c r="AA237">
        <v>30</v>
      </c>
      <c r="AB237">
        <v>-1</v>
      </c>
      <c r="AC237">
        <v>0</v>
      </c>
      <c r="AD237">
        <v>-1</v>
      </c>
      <c r="AE237">
        <v>6</v>
      </c>
      <c r="AF237">
        <v>0</v>
      </c>
      <c r="AG237">
        <v>-1</v>
      </c>
      <c r="AH237">
        <v>-1</v>
      </c>
      <c r="AI237">
        <v>0</v>
      </c>
      <c r="AJ237">
        <v>4</v>
      </c>
      <c r="AK237" t="str">
        <f>VLOOKUP(AJ237, Lookups!$B$23:$C$28, 2, FALSE)</f>
        <v>Darkness (Lit)</v>
      </c>
      <c r="AL237">
        <v>1</v>
      </c>
      <c r="AM237" t="str">
        <f>VLOOKUP(AL237, Lookups!$B$30:$C$39, 2, FALSE)</f>
        <v>Fine / Clear</v>
      </c>
      <c r="AN237">
        <v>1</v>
      </c>
      <c r="AO237" t="str">
        <f>VLOOKUP(AN237, Lookups!$B$41:$C$49, 2, FALSE)</f>
        <v>Dry</v>
      </c>
      <c r="AP237">
        <v>-1</v>
      </c>
      <c r="AQ237">
        <v>-1</v>
      </c>
      <c r="AR237">
        <v>0</v>
      </c>
      <c r="AS237">
        <v>1</v>
      </c>
      <c r="AT237">
        <v>1</v>
      </c>
      <c r="AU237">
        <v>2</v>
      </c>
      <c r="AV237" t="s">
        <v>200</v>
      </c>
      <c r="AW237">
        <v>3</v>
      </c>
      <c r="AX237">
        <v>1</v>
      </c>
      <c r="AY237">
        <v>0</v>
      </c>
      <c r="AZ237">
        <v>1</v>
      </c>
    </row>
    <row r="238" spans="1:52" x14ac:dyDescent="0.35">
      <c r="A238">
        <v>2025221588884</v>
      </c>
      <c r="B238">
        <v>2025</v>
      </c>
      <c r="C238">
        <v>221588884</v>
      </c>
      <c r="D238">
        <v>381412</v>
      </c>
      <c r="E238">
        <v>272378</v>
      </c>
      <c r="F238">
        <v>-2.2743099999999998</v>
      </c>
      <c r="G238">
        <v>52.349150000000002</v>
      </c>
      <c r="H238">
        <v>22</v>
      </c>
      <c r="I238">
        <v>3</v>
      </c>
      <c r="J238" t="str">
        <f>VLOOKUP(I238, Lookups!$B$1:$C$4, 2, FALSE)</f>
        <v>Slight</v>
      </c>
      <c r="K238">
        <v>2</v>
      </c>
      <c r="L238">
        <v>2</v>
      </c>
      <c r="M238" s="1">
        <v>45765</v>
      </c>
      <c r="N238">
        <v>6</v>
      </c>
      <c r="O238" t="str">
        <f>VLOOKUP(N238, Lookups!$B$6:$C$12, 2, FALSE)</f>
        <v>Friday</v>
      </c>
      <c r="P238" s="2">
        <v>0.43402777777777779</v>
      </c>
      <c r="Q238">
        <v>-1</v>
      </c>
      <c r="R238" t="s">
        <v>44</v>
      </c>
      <c r="S238" t="s">
        <v>45</v>
      </c>
      <c r="T238" t="s">
        <v>45</v>
      </c>
      <c r="U238">
        <v>3</v>
      </c>
      <c r="V238" t="str">
        <f>VLOOKUP(U238, Lookups!$B$51:$C$57, 2, FALSE)</f>
        <v>A</v>
      </c>
      <c r="W238">
        <v>451</v>
      </c>
      <c r="X238" t="str">
        <f t="shared" ref="X238:X239" si="34">V238&amp;W238</f>
        <v>A451</v>
      </c>
      <c r="Y238">
        <v>3</v>
      </c>
      <c r="Z238" t="str">
        <f>VLOOKUP(Y238, Lookups!$B$14:$C$21, 2, FALSE)</f>
        <v>Dual carriageway</v>
      </c>
      <c r="AA238">
        <v>30</v>
      </c>
      <c r="AB238">
        <v>-1</v>
      </c>
      <c r="AC238">
        <v>13</v>
      </c>
      <c r="AD238">
        <v>4</v>
      </c>
      <c r="AE238">
        <v>6</v>
      </c>
      <c r="AF238">
        <v>0</v>
      </c>
      <c r="AG238">
        <v>-1</v>
      </c>
      <c r="AH238">
        <v>-1</v>
      </c>
      <c r="AI238">
        <v>0</v>
      </c>
      <c r="AJ238">
        <v>1</v>
      </c>
      <c r="AK238" t="str">
        <f>VLOOKUP(AJ238, Lookups!$B$23:$C$28, 2, FALSE)</f>
        <v>Daylight</v>
      </c>
      <c r="AL238">
        <v>1</v>
      </c>
      <c r="AM238" t="str">
        <f>VLOOKUP(AL238, Lookups!$B$30:$C$39, 2, FALSE)</f>
        <v>Fine / Clear</v>
      </c>
      <c r="AN238">
        <v>1</v>
      </c>
      <c r="AO238" t="str">
        <f>VLOOKUP(AN238, Lookups!$B$41:$C$49, 2, FALSE)</f>
        <v>Dry</v>
      </c>
      <c r="AP238">
        <v>-1</v>
      </c>
      <c r="AQ238">
        <v>-1</v>
      </c>
      <c r="AR238">
        <v>0</v>
      </c>
      <c r="AS238">
        <v>2</v>
      </c>
      <c r="AT238">
        <v>2</v>
      </c>
      <c r="AU238">
        <v>2</v>
      </c>
      <c r="AV238" t="s">
        <v>110</v>
      </c>
      <c r="AW238">
        <v>3</v>
      </c>
      <c r="AX238">
        <v>1</v>
      </c>
      <c r="AY238">
        <v>0</v>
      </c>
      <c r="AZ238">
        <v>1</v>
      </c>
    </row>
    <row r="239" spans="1:52" x14ac:dyDescent="0.35">
      <c r="A239">
        <v>2025221671316</v>
      </c>
      <c r="B239">
        <v>2025</v>
      </c>
      <c r="C239">
        <v>221671316</v>
      </c>
      <c r="D239">
        <v>384933</v>
      </c>
      <c r="E239">
        <v>255220</v>
      </c>
      <c r="F239">
        <v>-2.2218399999999998</v>
      </c>
      <c r="G239">
        <v>52.195010000000003</v>
      </c>
      <c r="H239">
        <v>22</v>
      </c>
      <c r="I239">
        <v>2</v>
      </c>
      <c r="J239" t="str">
        <f>VLOOKUP(I239, Lookups!$B$1:$C$4, 2, FALSE)</f>
        <v>Serious</v>
      </c>
      <c r="K239">
        <v>1</v>
      </c>
      <c r="L239">
        <v>1</v>
      </c>
      <c r="M239" s="1">
        <v>45981</v>
      </c>
      <c r="N239">
        <v>5</v>
      </c>
      <c r="O239" t="str">
        <f>VLOOKUP(N239, Lookups!$B$6:$C$12, 2, FALSE)</f>
        <v>Thursday</v>
      </c>
      <c r="P239" s="2">
        <v>0.5756944444444444</v>
      </c>
      <c r="Q239">
        <v>-1</v>
      </c>
      <c r="R239" t="s">
        <v>60</v>
      </c>
      <c r="S239" t="s">
        <v>45</v>
      </c>
      <c r="T239" t="s">
        <v>45</v>
      </c>
      <c r="U239">
        <v>3</v>
      </c>
      <c r="V239" t="str">
        <f>VLOOKUP(U239, Lookups!$B$51:$C$57, 2, FALSE)</f>
        <v>A</v>
      </c>
      <c r="W239">
        <v>38</v>
      </c>
      <c r="X239" t="str">
        <f t="shared" si="34"/>
        <v>A38</v>
      </c>
      <c r="Y239">
        <v>6</v>
      </c>
      <c r="Z239" t="str">
        <f>VLOOKUP(Y239, Lookups!$B$14:$C$21, 2, FALSE)</f>
        <v>Single carriageway</v>
      </c>
      <c r="AA239">
        <v>30</v>
      </c>
      <c r="AB239">
        <v>-1</v>
      </c>
      <c r="AC239">
        <v>0</v>
      </c>
      <c r="AD239">
        <v>-1</v>
      </c>
      <c r="AE239">
        <v>4</v>
      </c>
      <c r="AF239">
        <v>4205</v>
      </c>
      <c r="AG239">
        <v>-1</v>
      </c>
      <c r="AH239">
        <v>-1</v>
      </c>
      <c r="AI239">
        <v>14</v>
      </c>
      <c r="AJ239">
        <v>1</v>
      </c>
      <c r="AK239" t="str">
        <f>VLOOKUP(AJ239, Lookups!$B$23:$C$28, 2, FALSE)</f>
        <v>Daylight</v>
      </c>
      <c r="AL239">
        <v>1</v>
      </c>
      <c r="AM239" t="str">
        <f>VLOOKUP(AL239, Lookups!$B$30:$C$39, 2, FALSE)</f>
        <v>Fine / Clear</v>
      </c>
      <c r="AN239">
        <v>1</v>
      </c>
      <c r="AO239" t="str">
        <f>VLOOKUP(AN239, Lookups!$B$41:$C$49, 2, FALSE)</f>
        <v>Dry</v>
      </c>
      <c r="AP239">
        <v>-1</v>
      </c>
      <c r="AQ239">
        <v>-1</v>
      </c>
      <c r="AR239">
        <v>0</v>
      </c>
      <c r="AS239">
        <v>1</v>
      </c>
      <c r="AT239">
        <v>1</v>
      </c>
      <c r="AU239">
        <v>2</v>
      </c>
      <c r="AV239" t="s">
        <v>88</v>
      </c>
      <c r="AW239">
        <v>5</v>
      </c>
      <c r="AX239">
        <v>1</v>
      </c>
      <c r="AY239">
        <v>1</v>
      </c>
      <c r="AZ239">
        <v>0</v>
      </c>
    </row>
    <row r="240" spans="1:52" x14ac:dyDescent="0.35">
      <c r="A240">
        <v>2025221563828</v>
      </c>
      <c r="B240">
        <v>2025</v>
      </c>
      <c r="C240">
        <v>221563828</v>
      </c>
      <c r="D240">
        <v>379540</v>
      </c>
      <c r="E240">
        <v>233362</v>
      </c>
      <c r="F240">
        <v>-2.29942</v>
      </c>
      <c r="G240">
        <v>51.99832</v>
      </c>
      <c r="H240">
        <v>22</v>
      </c>
      <c r="I240">
        <v>3</v>
      </c>
      <c r="J240" t="str">
        <f>VLOOKUP(I240, Lookups!$B$1:$C$4, 2, FALSE)</f>
        <v>Slight</v>
      </c>
      <c r="K240">
        <v>2</v>
      </c>
      <c r="L240">
        <v>1</v>
      </c>
      <c r="M240" s="1">
        <v>45727</v>
      </c>
      <c r="N240">
        <v>3</v>
      </c>
      <c r="O240" t="str">
        <f>VLOOKUP(N240, Lookups!$B$6:$C$12, 2, FALSE)</f>
        <v>Tuesday</v>
      </c>
      <c r="P240" s="2">
        <v>0.49652777777777779</v>
      </c>
      <c r="Q240">
        <v>-1</v>
      </c>
      <c r="R240" t="s">
        <v>49</v>
      </c>
      <c r="S240" t="s">
        <v>45</v>
      </c>
      <c r="T240" t="s">
        <v>45</v>
      </c>
      <c r="U240">
        <v>6</v>
      </c>
      <c r="V240" t="str">
        <f>VLOOKUP(U240, Lookups!$B$51:$C$57, 2, FALSE)</f>
        <v>Unclassified</v>
      </c>
      <c r="W240">
        <v>0</v>
      </c>
      <c r="X240" t="s">
        <v>362</v>
      </c>
      <c r="Y240">
        <v>6</v>
      </c>
      <c r="Z240" t="str">
        <f>VLOOKUP(Y240, Lookups!$B$14:$C$21, 2, FALSE)</f>
        <v>Single carriageway</v>
      </c>
      <c r="AA240">
        <v>30</v>
      </c>
      <c r="AB240">
        <v>-1</v>
      </c>
      <c r="AC240">
        <v>0</v>
      </c>
      <c r="AD240">
        <v>-1</v>
      </c>
      <c r="AE240">
        <v>6</v>
      </c>
      <c r="AF240">
        <v>0</v>
      </c>
      <c r="AG240">
        <v>-1</v>
      </c>
      <c r="AH240">
        <v>-1</v>
      </c>
      <c r="AI240">
        <v>0</v>
      </c>
      <c r="AJ240">
        <v>1</v>
      </c>
      <c r="AK240" t="str">
        <f>VLOOKUP(AJ240, Lookups!$B$23:$C$28, 2, FALSE)</f>
        <v>Daylight</v>
      </c>
      <c r="AL240">
        <v>1</v>
      </c>
      <c r="AM240" t="str">
        <f>VLOOKUP(AL240, Lookups!$B$30:$C$39, 2, FALSE)</f>
        <v>Fine / Clear</v>
      </c>
      <c r="AN240">
        <v>1</v>
      </c>
      <c r="AO240" t="str">
        <f>VLOOKUP(AN240, Lookups!$B$41:$C$49, 2, FALSE)</f>
        <v>Dry</v>
      </c>
      <c r="AP240">
        <v>-1</v>
      </c>
      <c r="AQ240">
        <v>-1</v>
      </c>
      <c r="AR240">
        <v>0</v>
      </c>
      <c r="AS240">
        <v>2</v>
      </c>
      <c r="AT240">
        <v>3</v>
      </c>
      <c r="AU240">
        <v>2</v>
      </c>
      <c r="AV240" t="s">
        <v>82</v>
      </c>
      <c r="AW240">
        <v>3</v>
      </c>
      <c r="AX240">
        <v>1</v>
      </c>
      <c r="AY240">
        <v>0</v>
      </c>
      <c r="AZ240">
        <v>1</v>
      </c>
    </row>
    <row r="241" spans="1:52" x14ac:dyDescent="0.35">
      <c r="A241">
        <v>2025221599139</v>
      </c>
      <c r="B241">
        <v>2025</v>
      </c>
      <c r="C241">
        <v>221599139</v>
      </c>
      <c r="D241">
        <v>403744</v>
      </c>
      <c r="E241">
        <v>243996</v>
      </c>
      <c r="F241">
        <v>-1.94676</v>
      </c>
      <c r="G241">
        <v>52.094299999999997</v>
      </c>
      <c r="H241">
        <v>22</v>
      </c>
      <c r="I241">
        <v>3</v>
      </c>
      <c r="J241" t="str">
        <f>VLOOKUP(I241, Lookups!$B$1:$C$4, 2, FALSE)</f>
        <v>Slight</v>
      </c>
      <c r="K241">
        <v>1</v>
      </c>
      <c r="L241">
        <v>1</v>
      </c>
      <c r="M241" s="1">
        <v>45813</v>
      </c>
      <c r="N241">
        <v>5</v>
      </c>
      <c r="O241" t="str">
        <f>VLOOKUP(N241, Lookups!$B$6:$C$12, 2, FALSE)</f>
        <v>Thursday</v>
      </c>
      <c r="P241" s="2">
        <v>0.44097222222222221</v>
      </c>
      <c r="Q241">
        <v>-1</v>
      </c>
      <c r="R241" t="s">
        <v>54</v>
      </c>
      <c r="S241" t="s">
        <v>45</v>
      </c>
      <c r="T241" t="s">
        <v>45</v>
      </c>
      <c r="U241">
        <v>3</v>
      </c>
      <c r="V241" t="str">
        <f>VLOOKUP(U241, Lookups!$B$51:$C$57, 2, FALSE)</f>
        <v>A</v>
      </c>
      <c r="W241">
        <v>4184</v>
      </c>
      <c r="X241" t="str">
        <f t="shared" ref="X241:X244" si="35">V241&amp;W241</f>
        <v>A4184</v>
      </c>
      <c r="Y241">
        <v>6</v>
      </c>
      <c r="Z241" t="str">
        <f>VLOOKUP(Y241, Lookups!$B$14:$C$21, 2, FALSE)</f>
        <v>Single carriageway</v>
      </c>
      <c r="AA241">
        <v>30</v>
      </c>
      <c r="AB241">
        <v>-1</v>
      </c>
      <c r="AC241">
        <v>16</v>
      </c>
      <c r="AD241">
        <v>2</v>
      </c>
      <c r="AE241">
        <v>6</v>
      </c>
      <c r="AF241">
        <v>0</v>
      </c>
      <c r="AG241">
        <v>-1</v>
      </c>
      <c r="AH241">
        <v>-1</v>
      </c>
      <c r="AI241">
        <v>14</v>
      </c>
      <c r="AJ241">
        <v>1</v>
      </c>
      <c r="AK241" t="str">
        <f>VLOOKUP(AJ241, Lookups!$B$23:$C$28, 2, FALSE)</f>
        <v>Daylight</v>
      </c>
      <c r="AL241">
        <v>1</v>
      </c>
      <c r="AM241" t="str">
        <f>VLOOKUP(AL241, Lookups!$B$30:$C$39, 2, FALSE)</f>
        <v>Fine / Clear</v>
      </c>
      <c r="AN241">
        <v>2</v>
      </c>
      <c r="AO241" t="str">
        <f>VLOOKUP(AN241, Lookups!$B$41:$C$49, 2, FALSE)</f>
        <v>Wet / damp</v>
      </c>
      <c r="AP241">
        <v>-1</v>
      </c>
      <c r="AQ241">
        <v>-1</v>
      </c>
      <c r="AR241">
        <v>0</v>
      </c>
      <c r="AS241">
        <v>1</v>
      </c>
      <c r="AT241">
        <v>1</v>
      </c>
      <c r="AU241">
        <v>2</v>
      </c>
      <c r="AV241" t="s">
        <v>201</v>
      </c>
      <c r="AW241">
        <v>3</v>
      </c>
      <c r="AX241">
        <v>1</v>
      </c>
      <c r="AY241">
        <v>0</v>
      </c>
      <c r="AZ241">
        <v>1</v>
      </c>
    </row>
    <row r="242" spans="1:52" x14ac:dyDescent="0.35">
      <c r="A242">
        <v>2025221637730</v>
      </c>
      <c r="B242">
        <v>2025</v>
      </c>
      <c r="C242">
        <v>221637730</v>
      </c>
      <c r="D242">
        <v>384844</v>
      </c>
      <c r="E242">
        <v>255125</v>
      </c>
      <c r="F242">
        <v>-2.2231399999999999</v>
      </c>
      <c r="G242">
        <v>52.19415</v>
      </c>
      <c r="H242">
        <v>22</v>
      </c>
      <c r="I242">
        <v>3</v>
      </c>
      <c r="J242" t="str">
        <f>VLOOKUP(I242, Lookups!$B$1:$C$4, 2, FALSE)</f>
        <v>Slight</v>
      </c>
      <c r="K242">
        <v>1</v>
      </c>
      <c r="L242">
        <v>1</v>
      </c>
      <c r="M242" s="1">
        <v>45903</v>
      </c>
      <c r="N242">
        <v>4</v>
      </c>
      <c r="O242" t="str">
        <f>VLOOKUP(N242, Lookups!$B$6:$C$12, 2, FALSE)</f>
        <v>Wednesday</v>
      </c>
      <c r="P242" s="2">
        <v>0.625</v>
      </c>
      <c r="Q242">
        <v>-1</v>
      </c>
      <c r="R242" t="s">
        <v>60</v>
      </c>
      <c r="S242" t="s">
        <v>45</v>
      </c>
      <c r="T242" t="s">
        <v>45</v>
      </c>
      <c r="U242">
        <v>4</v>
      </c>
      <c r="V242" t="str">
        <f>VLOOKUP(U242, Lookups!$B$51:$C$57, 2, FALSE)</f>
        <v>B</v>
      </c>
      <c r="W242">
        <v>4205</v>
      </c>
      <c r="X242" t="str">
        <f t="shared" si="35"/>
        <v>B4205</v>
      </c>
      <c r="Y242">
        <v>6</v>
      </c>
      <c r="Z242" t="str">
        <f>VLOOKUP(Y242, Lookups!$B$14:$C$21, 2, FALSE)</f>
        <v>Single carriageway</v>
      </c>
      <c r="AA242">
        <v>30</v>
      </c>
      <c r="AB242">
        <v>-1</v>
      </c>
      <c r="AC242">
        <v>13</v>
      </c>
      <c r="AD242">
        <v>4</v>
      </c>
      <c r="AE242">
        <v>6</v>
      </c>
      <c r="AF242">
        <v>0</v>
      </c>
      <c r="AG242">
        <v>-1</v>
      </c>
      <c r="AH242">
        <v>-1</v>
      </c>
      <c r="AI242">
        <v>0</v>
      </c>
      <c r="AJ242">
        <v>1</v>
      </c>
      <c r="AK242" t="str">
        <f>VLOOKUP(AJ242, Lookups!$B$23:$C$28, 2, FALSE)</f>
        <v>Daylight</v>
      </c>
      <c r="AL242">
        <v>1</v>
      </c>
      <c r="AM242" t="str">
        <f>VLOOKUP(AL242, Lookups!$B$30:$C$39, 2, FALSE)</f>
        <v>Fine / Clear</v>
      </c>
      <c r="AN242">
        <v>1</v>
      </c>
      <c r="AO242" t="str">
        <f>VLOOKUP(AN242, Lookups!$B$41:$C$49, 2, FALSE)</f>
        <v>Dry</v>
      </c>
      <c r="AP242">
        <v>-1</v>
      </c>
      <c r="AQ242">
        <v>-1</v>
      </c>
      <c r="AR242">
        <v>0</v>
      </c>
      <c r="AS242">
        <v>1</v>
      </c>
      <c r="AT242">
        <v>3</v>
      </c>
      <c r="AU242">
        <v>2</v>
      </c>
      <c r="AV242" t="s">
        <v>88</v>
      </c>
      <c r="AW242">
        <v>3</v>
      </c>
      <c r="AX242">
        <v>1</v>
      </c>
      <c r="AY242">
        <v>0</v>
      </c>
      <c r="AZ242">
        <v>1</v>
      </c>
    </row>
    <row r="243" spans="1:52" x14ac:dyDescent="0.35">
      <c r="A243">
        <v>2025221645612</v>
      </c>
      <c r="B243">
        <v>2025</v>
      </c>
      <c r="C243">
        <v>221645612</v>
      </c>
      <c r="D243">
        <v>385564</v>
      </c>
      <c r="E243">
        <v>257085</v>
      </c>
      <c r="F243">
        <v>-2.2126899999999998</v>
      </c>
      <c r="G243">
        <v>52.211790000000001</v>
      </c>
      <c r="H243">
        <v>22</v>
      </c>
      <c r="I243">
        <v>3</v>
      </c>
      <c r="J243" t="str">
        <f>VLOOKUP(I243, Lookups!$B$1:$C$4, 2, FALSE)</f>
        <v>Slight</v>
      </c>
      <c r="K243">
        <v>2</v>
      </c>
      <c r="L243">
        <v>1</v>
      </c>
      <c r="M243" s="1">
        <v>45920</v>
      </c>
      <c r="N243">
        <v>7</v>
      </c>
      <c r="O243" t="str">
        <f>VLOOKUP(N243, Lookups!$B$6:$C$12, 2, FALSE)</f>
        <v>Saturday</v>
      </c>
      <c r="P243" s="2">
        <v>0.75208333333333333</v>
      </c>
      <c r="Q243">
        <v>-1</v>
      </c>
      <c r="R243" t="s">
        <v>60</v>
      </c>
      <c r="S243" t="s">
        <v>45</v>
      </c>
      <c r="T243" t="s">
        <v>45</v>
      </c>
      <c r="U243">
        <v>4</v>
      </c>
      <c r="V243" t="str">
        <f>VLOOKUP(U243, Lookups!$B$51:$C$57, 2, FALSE)</f>
        <v>B</v>
      </c>
      <c r="W243">
        <v>4482</v>
      </c>
      <c r="X243" t="str">
        <f t="shared" si="35"/>
        <v>B4482</v>
      </c>
      <c r="Y243">
        <v>6</v>
      </c>
      <c r="Z243" t="str">
        <f>VLOOKUP(Y243, Lookups!$B$14:$C$21, 2, FALSE)</f>
        <v>Single carriageway</v>
      </c>
      <c r="AA243">
        <v>30</v>
      </c>
      <c r="AB243">
        <v>-1</v>
      </c>
      <c r="AC243">
        <v>19</v>
      </c>
      <c r="AD243">
        <v>4</v>
      </c>
      <c r="AE243">
        <v>6</v>
      </c>
      <c r="AF243">
        <v>0</v>
      </c>
      <c r="AG243">
        <v>-1</v>
      </c>
      <c r="AH243">
        <v>-1</v>
      </c>
      <c r="AI243">
        <v>17</v>
      </c>
      <c r="AJ243">
        <v>1</v>
      </c>
      <c r="AK243" t="str">
        <f>VLOOKUP(AJ243, Lookups!$B$23:$C$28, 2, FALSE)</f>
        <v>Daylight</v>
      </c>
      <c r="AL243">
        <v>2</v>
      </c>
      <c r="AM243" t="str">
        <f>VLOOKUP(AL243, Lookups!$B$30:$C$39, 2, FALSE)</f>
        <v>Rain</v>
      </c>
      <c r="AN243">
        <v>2</v>
      </c>
      <c r="AO243" t="str">
        <f>VLOOKUP(AN243, Lookups!$B$41:$C$49, 2, FALSE)</f>
        <v>Wet / damp</v>
      </c>
      <c r="AP243">
        <v>-1</v>
      </c>
      <c r="AQ243">
        <v>-1</v>
      </c>
      <c r="AR243">
        <v>0</v>
      </c>
      <c r="AS243">
        <v>2</v>
      </c>
      <c r="AT243">
        <v>1</v>
      </c>
      <c r="AU243">
        <v>2</v>
      </c>
      <c r="AV243" t="s">
        <v>154</v>
      </c>
      <c r="AW243">
        <v>3</v>
      </c>
      <c r="AX243">
        <v>1</v>
      </c>
      <c r="AY243">
        <v>0</v>
      </c>
      <c r="AZ243">
        <v>1</v>
      </c>
    </row>
    <row r="244" spans="1:52" x14ac:dyDescent="0.35">
      <c r="A244">
        <v>2025221563036</v>
      </c>
      <c r="B244">
        <v>2025</v>
      </c>
      <c r="C244">
        <v>221563036</v>
      </c>
      <c r="D244">
        <v>380570</v>
      </c>
      <c r="E244">
        <v>253334</v>
      </c>
      <c r="F244">
        <v>-2.2855599999999998</v>
      </c>
      <c r="G244">
        <v>52.177909999999997</v>
      </c>
      <c r="H244">
        <v>22</v>
      </c>
      <c r="I244">
        <v>2</v>
      </c>
      <c r="J244" t="str">
        <f>VLOOKUP(I244, Lookups!$B$1:$C$4, 2, FALSE)</f>
        <v>Serious</v>
      </c>
      <c r="K244">
        <v>3</v>
      </c>
      <c r="L244">
        <v>4</v>
      </c>
      <c r="M244" s="1">
        <v>45725</v>
      </c>
      <c r="N244">
        <v>1</v>
      </c>
      <c r="O244" t="str">
        <f>VLOOKUP(N244, Lookups!$B$6:$C$12, 2, FALSE)</f>
        <v>Sunday</v>
      </c>
      <c r="P244" s="2">
        <v>0.75347222222222221</v>
      </c>
      <c r="Q244">
        <v>-1</v>
      </c>
      <c r="R244" t="s">
        <v>49</v>
      </c>
      <c r="S244" t="s">
        <v>45</v>
      </c>
      <c r="T244" t="s">
        <v>45</v>
      </c>
      <c r="U244">
        <v>3</v>
      </c>
      <c r="V244" t="str">
        <f>VLOOKUP(U244, Lookups!$B$51:$C$57, 2, FALSE)</f>
        <v>A</v>
      </c>
      <c r="W244">
        <v>4103</v>
      </c>
      <c r="X244" t="str">
        <f t="shared" si="35"/>
        <v>A4103</v>
      </c>
      <c r="Y244">
        <v>6</v>
      </c>
      <c r="Z244" t="str">
        <f>VLOOKUP(Y244, Lookups!$B$14:$C$21, 2, FALSE)</f>
        <v>Single carriageway</v>
      </c>
      <c r="AA244">
        <v>40</v>
      </c>
      <c r="AB244">
        <v>-1</v>
      </c>
      <c r="AC244">
        <v>0</v>
      </c>
      <c r="AD244">
        <v>-1</v>
      </c>
      <c r="AE244">
        <v>0</v>
      </c>
      <c r="AF244">
        <v>-1</v>
      </c>
      <c r="AG244">
        <v>-1</v>
      </c>
      <c r="AH244">
        <v>-1</v>
      </c>
      <c r="AI244">
        <v>0</v>
      </c>
      <c r="AJ244">
        <v>1</v>
      </c>
      <c r="AK244" t="str">
        <f>VLOOKUP(AJ244, Lookups!$B$23:$C$28, 2, FALSE)</f>
        <v>Daylight</v>
      </c>
      <c r="AL244">
        <v>1</v>
      </c>
      <c r="AM244" t="str">
        <f>VLOOKUP(AL244, Lookups!$B$30:$C$39, 2, FALSE)</f>
        <v>Fine / Clear</v>
      </c>
      <c r="AN244">
        <v>1</v>
      </c>
      <c r="AO244" t="str">
        <f>VLOOKUP(AN244, Lookups!$B$41:$C$49, 2, FALSE)</f>
        <v>Dry</v>
      </c>
      <c r="AP244">
        <v>-1</v>
      </c>
      <c r="AQ244">
        <v>-1</v>
      </c>
      <c r="AR244">
        <v>0</v>
      </c>
      <c r="AS244">
        <v>2</v>
      </c>
      <c r="AT244">
        <v>1</v>
      </c>
      <c r="AU244">
        <v>2</v>
      </c>
      <c r="AV244" t="s">
        <v>129</v>
      </c>
      <c r="AW244">
        <v>7</v>
      </c>
      <c r="AX244">
        <v>1</v>
      </c>
      <c r="AY244">
        <v>1</v>
      </c>
      <c r="AZ244">
        <v>0</v>
      </c>
    </row>
    <row r="245" spans="1:52" x14ac:dyDescent="0.35">
      <c r="A245">
        <v>2025221570576</v>
      </c>
      <c r="B245">
        <v>2025</v>
      </c>
      <c r="C245">
        <v>221570576</v>
      </c>
      <c r="D245">
        <v>404692</v>
      </c>
      <c r="E245">
        <v>241645</v>
      </c>
      <c r="F245">
        <v>-1.93296</v>
      </c>
      <c r="G245">
        <v>52.073149999999998</v>
      </c>
      <c r="H245">
        <v>22</v>
      </c>
      <c r="I245">
        <v>1</v>
      </c>
      <c r="J245" t="str">
        <f>VLOOKUP(I245, Lookups!$B$1:$C$4, 2, FALSE)</f>
        <v>Fatal</v>
      </c>
      <c r="K245">
        <v>2</v>
      </c>
      <c r="L245">
        <v>1</v>
      </c>
      <c r="M245" s="1">
        <v>45728</v>
      </c>
      <c r="N245">
        <v>4</v>
      </c>
      <c r="O245" t="str">
        <f>VLOOKUP(N245, Lookups!$B$6:$C$12, 2, FALSE)</f>
        <v>Wednesday</v>
      </c>
      <c r="P245" s="2">
        <v>0.71527777777777779</v>
      </c>
      <c r="Q245">
        <v>-1</v>
      </c>
      <c r="R245" t="s">
        <v>54</v>
      </c>
      <c r="S245" t="s">
        <v>45</v>
      </c>
      <c r="T245" t="s">
        <v>45</v>
      </c>
      <c r="U245">
        <v>6</v>
      </c>
      <c r="V245" t="str">
        <f>VLOOKUP(U245, Lookups!$B$51:$C$57, 2, FALSE)</f>
        <v>Unclassified</v>
      </c>
      <c r="W245">
        <v>0</v>
      </c>
      <c r="X245" t="s">
        <v>362</v>
      </c>
      <c r="Y245">
        <v>6</v>
      </c>
      <c r="Z245" t="str">
        <f>VLOOKUP(Y245, Lookups!$B$14:$C$21, 2, FALSE)</f>
        <v>Single carriageway</v>
      </c>
      <c r="AA245">
        <v>30</v>
      </c>
      <c r="AB245">
        <v>-1</v>
      </c>
      <c r="AC245">
        <v>0</v>
      </c>
      <c r="AD245">
        <v>-1</v>
      </c>
      <c r="AE245">
        <v>0</v>
      </c>
      <c r="AF245">
        <v>-1</v>
      </c>
      <c r="AG245">
        <v>-1</v>
      </c>
      <c r="AH245">
        <v>-1</v>
      </c>
      <c r="AI245">
        <v>0</v>
      </c>
      <c r="AJ245">
        <v>1</v>
      </c>
      <c r="AK245" t="str">
        <f>VLOOKUP(AJ245, Lookups!$B$23:$C$28, 2, FALSE)</f>
        <v>Daylight</v>
      </c>
      <c r="AL245">
        <v>1</v>
      </c>
      <c r="AM245" t="str">
        <f>VLOOKUP(AL245, Lookups!$B$30:$C$39, 2, FALSE)</f>
        <v>Fine / Clear</v>
      </c>
      <c r="AN245">
        <v>1</v>
      </c>
      <c r="AO245" t="str">
        <f>VLOOKUP(AN245, Lookups!$B$41:$C$49, 2, FALSE)</f>
        <v>Dry</v>
      </c>
      <c r="AP245">
        <v>-1</v>
      </c>
      <c r="AQ245">
        <v>-1</v>
      </c>
      <c r="AR245">
        <v>0</v>
      </c>
      <c r="AS245">
        <v>1</v>
      </c>
      <c r="AT245">
        <v>1</v>
      </c>
      <c r="AU245">
        <v>2</v>
      </c>
      <c r="AV245" t="s">
        <v>202</v>
      </c>
      <c r="AW245">
        <v>1</v>
      </c>
      <c r="AX245">
        <v>1</v>
      </c>
      <c r="AY245">
        <v>0</v>
      </c>
      <c r="AZ245">
        <v>0</v>
      </c>
    </row>
    <row r="246" spans="1:52" x14ac:dyDescent="0.35">
      <c r="A246">
        <v>2025221614230</v>
      </c>
      <c r="B246">
        <v>2025</v>
      </c>
      <c r="C246">
        <v>221614230</v>
      </c>
      <c r="D246">
        <v>408038</v>
      </c>
      <c r="E246">
        <v>268158</v>
      </c>
      <c r="F246">
        <v>-1.8835200000000001</v>
      </c>
      <c r="G246">
        <v>52.311480000000003</v>
      </c>
      <c r="H246">
        <v>22</v>
      </c>
      <c r="I246">
        <v>2</v>
      </c>
      <c r="J246" t="str">
        <f>VLOOKUP(I246, Lookups!$B$1:$C$4, 2, FALSE)</f>
        <v>Serious</v>
      </c>
      <c r="K246">
        <v>2</v>
      </c>
      <c r="L246">
        <v>1</v>
      </c>
      <c r="M246" s="1">
        <v>45848</v>
      </c>
      <c r="N246">
        <v>5</v>
      </c>
      <c r="O246" t="str">
        <f>VLOOKUP(N246, Lookups!$B$6:$C$12, 2, FALSE)</f>
        <v>Thursday</v>
      </c>
      <c r="P246" s="2">
        <v>0.35902777777777778</v>
      </c>
      <c r="Q246">
        <v>-1</v>
      </c>
      <c r="R246" t="s">
        <v>69</v>
      </c>
      <c r="S246" t="s">
        <v>45</v>
      </c>
      <c r="T246" t="s">
        <v>45</v>
      </c>
      <c r="U246">
        <v>3</v>
      </c>
      <c r="V246" t="str">
        <f>VLOOKUP(U246, Lookups!$B$51:$C$57, 2, FALSE)</f>
        <v>A</v>
      </c>
      <c r="W246">
        <v>4023</v>
      </c>
      <c r="X246" t="str">
        <f t="shared" ref="X246:X248" si="36">V246&amp;W246</f>
        <v>A4023</v>
      </c>
      <c r="Y246">
        <v>3</v>
      </c>
      <c r="Z246" t="str">
        <f>VLOOKUP(Y246, Lookups!$B$14:$C$21, 2, FALSE)</f>
        <v>Dual carriageway</v>
      </c>
      <c r="AA246">
        <v>70</v>
      </c>
      <c r="AB246">
        <v>-1</v>
      </c>
      <c r="AC246">
        <v>0</v>
      </c>
      <c r="AD246">
        <v>-1</v>
      </c>
      <c r="AE246">
        <v>0</v>
      </c>
      <c r="AF246">
        <v>-1</v>
      </c>
      <c r="AG246">
        <v>-1</v>
      </c>
      <c r="AH246">
        <v>-1</v>
      </c>
      <c r="AI246">
        <v>0</v>
      </c>
      <c r="AJ246">
        <v>1</v>
      </c>
      <c r="AK246" t="str">
        <f>VLOOKUP(AJ246, Lookups!$B$23:$C$28, 2, FALSE)</f>
        <v>Daylight</v>
      </c>
      <c r="AL246">
        <v>1</v>
      </c>
      <c r="AM246" t="str">
        <f>VLOOKUP(AL246, Lookups!$B$30:$C$39, 2, FALSE)</f>
        <v>Fine / Clear</v>
      </c>
      <c r="AN246">
        <v>1</v>
      </c>
      <c r="AO246" t="str">
        <f>VLOOKUP(AN246, Lookups!$B$41:$C$49, 2, FALSE)</f>
        <v>Dry</v>
      </c>
      <c r="AP246">
        <v>-1</v>
      </c>
      <c r="AQ246">
        <v>-1</v>
      </c>
      <c r="AR246">
        <v>0</v>
      </c>
      <c r="AS246">
        <v>1</v>
      </c>
      <c r="AT246">
        <v>1</v>
      </c>
      <c r="AU246">
        <v>2</v>
      </c>
      <c r="AV246" t="s">
        <v>203</v>
      </c>
      <c r="AW246">
        <v>7</v>
      </c>
      <c r="AX246">
        <v>1</v>
      </c>
      <c r="AY246">
        <v>1</v>
      </c>
      <c r="AZ246">
        <v>0</v>
      </c>
    </row>
    <row r="247" spans="1:52" x14ac:dyDescent="0.35">
      <c r="A247">
        <v>2025221622033</v>
      </c>
      <c r="B247">
        <v>2025</v>
      </c>
      <c r="C247">
        <v>221622033</v>
      </c>
      <c r="D247">
        <v>403117</v>
      </c>
      <c r="E247">
        <v>274808</v>
      </c>
      <c r="F247">
        <v>-1.95564</v>
      </c>
      <c r="G247">
        <v>52.371310000000001</v>
      </c>
      <c r="H247">
        <v>22</v>
      </c>
      <c r="I247">
        <v>3</v>
      </c>
      <c r="J247" t="str">
        <f>VLOOKUP(I247, Lookups!$B$1:$C$4, 2, FALSE)</f>
        <v>Slight</v>
      </c>
      <c r="K247">
        <v>2</v>
      </c>
      <c r="L247">
        <v>1</v>
      </c>
      <c r="M247" s="1">
        <v>45867</v>
      </c>
      <c r="N247">
        <v>3</v>
      </c>
      <c r="O247" t="str">
        <f>VLOOKUP(N247, Lookups!$B$6:$C$12, 2, FALSE)</f>
        <v>Tuesday</v>
      </c>
      <c r="P247" s="2">
        <v>0.3298611111111111</v>
      </c>
      <c r="Q247">
        <v>-1</v>
      </c>
      <c r="R247" t="s">
        <v>47</v>
      </c>
      <c r="S247" t="s">
        <v>45</v>
      </c>
      <c r="T247" t="s">
        <v>45</v>
      </c>
      <c r="U247">
        <v>3</v>
      </c>
      <c r="V247" t="str">
        <f>VLOOKUP(U247, Lookups!$B$51:$C$57, 2, FALSE)</f>
        <v>A</v>
      </c>
      <c r="W247">
        <v>441</v>
      </c>
      <c r="X247" t="str">
        <f t="shared" si="36"/>
        <v>A441</v>
      </c>
      <c r="Y247">
        <v>6</v>
      </c>
      <c r="Z247" t="str">
        <f>VLOOKUP(Y247, Lookups!$B$14:$C$21, 2, FALSE)</f>
        <v>Single carriageway</v>
      </c>
      <c r="AA247">
        <v>40</v>
      </c>
      <c r="AB247">
        <v>-1</v>
      </c>
      <c r="AC247">
        <v>13</v>
      </c>
      <c r="AD247">
        <v>4</v>
      </c>
      <c r="AE247">
        <v>6</v>
      </c>
      <c r="AF247">
        <v>0</v>
      </c>
      <c r="AG247">
        <v>-1</v>
      </c>
      <c r="AH247">
        <v>-1</v>
      </c>
      <c r="AI247">
        <v>0</v>
      </c>
      <c r="AJ247">
        <v>1</v>
      </c>
      <c r="AK247" t="str">
        <f>VLOOKUP(AJ247, Lookups!$B$23:$C$28, 2, FALSE)</f>
        <v>Daylight</v>
      </c>
      <c r="AL247">
        <v>2</v>
      </c>
      <c r="AM247" t="str">
        <f>VLOOKUP(AL247, Lookups!$B$30:$C$39, 2, FALSE)</f>
        <v>Rain</v>
      </c>
      <c r="AN247">
        <v>2</v>
      </c>
      <c r="AO247" t="str">
        <f>VLOOKUP(AN247, Lookups!$B$41:$C$49, 2, FALSE)</f>
        <v>Wet / damp</v>
      </c>
      <c r="AP247">
        <v>-1</v>
      </c>
      <c r="AQ247">
        <v>-1</v>
      </c>
      <c r="AR247">
        <v>0</v>
      </c>
      <c r="AS247">
        <v>2</v>
      </c>
      <c r="AT247">
        <v>1</v>
      </c>
      <c r="AU247">
        <v>2</v>
      </c>
      <c r="AV247" t="s">
        <v>77</v>
      </c>
      <c r="AW247">
        <v>3</v>
      </c>
      <c r="AX247">
        <v>1</v>
      </c>
      <c r="AY247">
        <v>0</v>
      </c>
      <c r="AZ247">
        <v>1</v>
      </c>
    </row>
    <row r="248" spans="1:52" x14ac:dyDescent="0.35">
      <c r="A248">
        <v>2025221650791</v>
      </c>
      <c r="B248">
        <v>2025</v>
      </c>
      <c r="C248">
        <v>221650791</v>
      </c>
      <c r="D248">
        <v>379537</v>
      </c>
      <c r="E248">
        <v>270454</v>
      </c>
      <c r="F248">
        <v>-2.3017099999999999</v>
      </c>
      <c r="G248">
        <v>52.331789999999998</v>
      </c>
      <c r="H248">
        <v>22</v>
      </c>
      <c r="I248">
        <v>3</v>
      </c>
      <c r="J248" t="str">
        <f>VLOOKUP(I248, Lookups!$B$1:$C$4, 2, FALSE)</f>
        <v>Slight</v>
      </c>
      <c r="K248">
        <v>2</v>
      </c>
      <c r="L248">
        <v>1</v>
      </c>
      <c r="M248" s="1">
        <v>45901</v>
      </c>
      <c r="N248">
        <v>2</v>
      </c>
      <c r="O248" t="str">
        <f>VLOOKUP(N248, Lookups!$B$6:$C$12, 2, FALSE)</f>
        <v>Monday</v>
      </c>
      <c r="P248" s="2">
        <v>0.66180555555555554</v>
      </c>
      <c r="Q248">
        <v>-1</v>
      </c>
      <c r="R248" t="s">
        <v>44</v>
      </c>
      <c r="S248" t="s">
        <v>45</v>
      </c>
      <c r="T248" t="s">
        <v>45</v>
      </c>
      <c r="U248">
        <v>4</v>
      </c>
      <c r="V248" t="str">
        <f>VLOOKUP(U248, Lookups!$B$51:$C$57, 2, FALSE)</f>
        <v>B</v>
      </c>
      <c r="W248">
        <v>4194</v>
      </c>
      <c r="X248" t="str">
        <f t="shared" si="36"/>
        <v>B4194</v>
      </c>
      <c r="Y248">
        <v>6</v>
      </c>
      <c r="Z248" t="str">
        <f>VLOOKUP(Y248, Lookups!$B$14:$C$21, 2, FALSE)</f>
        <v>Single carriageway</v>
      </c>
      <c r="AA248">
        <v>60</v>
      </c>
      <c r="AB248">
        <v>-1</v>
      </c>
      <c r="AC248">
        <v>0</v>
      </c>
      <c r="AD248">
        <v>-1</v>
      </c>
      <c r="AE248">
        <v>0</v>
      </c>
      <c r="AF248">
        <v>-1</v>
      </c>
      <c r="AG248">
        <v>-1</v>
      </c>
      <c r="AH248">
        <v>-1</v>
      </c>
      <c r="AI248">
        <v>0</v>
      </c>
      <c r="AJ248">
        <v>1</v>
      </c>
      <c r="AK248" t="str">
        <f>VLOOKUP(AJ248, Lookups!$B$23:$C$28, 2, FALSE)</f>
        <v>Daylight</v>
      </c>
      <c r="AL248">
        <v>1</v>
      </c>
      <c r="AM248" t="str">
        <f>VLOOKUP(AL248, Lookups!$B$30:$C$39, 2, FALSE)</f>
        <v>Fine / Clear</v>
      </c>
      <c r="AN248">
        <v>1</v>
      </c>
      <c r="AO248" t="str">
        <f>VLOOKUP(AN248, Lookups!$B$41:$C$49, 2, FALSE)</f>
        <v>Dry</v>
      </c>
      <c r="AP248">
        <v>-1</v>
      </c>
      <c r="AQ248">
        <v>-1</v>
      </c>
      <c r="AR248">
        <v>0</v>
      </c>
      <c r="AS248">
        <v>2</v>
      </c>
      <c r="AT248">
        <v>1</v>
      </c>
      <c r="AU248">
        <v>2</v>
      </c>
      <c r="AV248" t="s">
        <v>204</v>
      </c>
      <c r="AW248">
        <v>3</v>
      </c>
      <c r="AX248">
        <v>1</v>
      </c>
      <c r="AY248">
        <v>0</v>
      </c>
      <c r="AZ248">
        <v>1</v>
      </c>
    </row>
    <row r="249" spans="1:52" x14ac:dyDescent="0.35">
      <c r="A249">
        <v>2025221670157</v>
      </c>
      <c r="B249">
        <v>2025</v>
      </c>
      <c r="C249">
        <v>221670157</v>
      </c>
      <c r="D249">
        <v>384892</v>
      </c>
      <c r="E249">
        <v>256146</v>
      </c>
      <c r="F249">
        <v>-2.2224900000000001</v>
      </c>
      <c r="G249">
        <v>52.203330000000001</v>
      </c>
      <c r="H249">
        <v>22</v>
      </c>
      <c r="I249">
        <v>3</v>
      </c>
      <c r="J249" t="str">
        <f>VLOOKUP(I249, Lookups!$B$1:$C$4, 2, FALSE)</f>
        <v>Slight</v>
      </c>
      <c r="K249">
        <v>2</v>
      </c>
      <c r="L249">
        <v>1</v>
      </c>
      <c r="M249" s="1">
        <v>45954</v>
      </c>
      <c r="N249">
        <v>6</v>
      </c>
      <c r="O249" t="str">
        <f>VLOOKUP(N249, Lookups!$B$6:$C$12, 2, FALSE)</f>
        <v>Friday</v>
      </c>
      <c r="P249" s="2">
        <v>0.5</v>
      </c>
      <c r="Q249">
        <v>-1</v>
      </c>
      <c r="R249" t="s">
        <v>60</v>
      </c>
      <c r="S249" t="s">
        <v>45</v>
      </c>
      <c r="T249" t="s">
        <v>45</v>
      </c>
      <c r="U249">
        <v>6</v>
      </c>
      <c r="V249" t="str">
        <f>VLOOKUP(U249, Lookups!$B$51:$C$57, 2, FALSE)</f>
        <v>Unclassified</v>
      </c>
      <c r="W249">
        <v>0</v>
      </c>
      <c r="X249" t="s">
        <v>362</v>
      </c>
      <c r="Y249">
        <v>6</v>
      </c>
      <c r="Z249" t="str">
        <f>VLOOKUP(Y249, Lookups!$B$14:$C$21, 2, FALSE)</f>
        <v>Single carriageway</v>
      </c>
      <c r="AA249">
        <v>20</v>
      </c>
      <c r="AB249">
        <v>-1</v>
      </c>
      <c r="AC249">
        <v>16</v>
      </c>
      <c r="AD249">
        <v>4</v>
      </c>
      <c r="AE249">
        <v>6</v>
      </c>
      <c r="AF249">
        <v>0</v>
      </c>
      <c r="AG249">
        <v>-1</v>
      </c>
      <c r="AH249">
        <v>-1</v>
      </c>
      <c r="AI249">
        <v>0</v>
      </c>
      <c r="AJ249">
        <v>1</v>
      </c>
      <c r="AK249" t="str">
        <f>VLOOKUP(AJ249, Lookups!$B$23:$C$28, 2, FALSE)</f>
        <v>Daylight</v>
      </c>
      <c r="AL249">
        <v>1</v>
      </c>
      <c r="AM249" t="str">
        <f>VLOOKUP(AL249, Lookups!$B$30:$C$39, 2, FALSE)</f>
        <v>Fine / Clear</v>
      </c>
      <c r="AN249">
        <v>1</v>
      </c>
      <c r="AO249" t="str">
        <f>VLOOKUP(AN249, Lookups!$B$41:$C$49, 2, FALSE)</f>
        <v>Dry</v>
      </c>
      <c r="AP249">
        <v>-1</v>
      </c>
      <c r="AQ249">
        <v>-1</v>
      </c>
      <c r="AR249">
        <v>0</v>
      </c>
      <c r="AS249">
        <v>1</v>
      </c>
      <c r="AT249">
        <v>1</v>
      </c>
      <c r="AU249">
        <v>2</v>
      </c>
      <c r="AV249" t="s">
        <v>205</v>
      </c>
      <c r="AW249">
        <v>3</v>
      </c>
      <c r="AX249">
        <v>1</v>
      </c>
      <c r="AY249">
        <v>0</v>
      </c>
      <c r="AZ249">
        <v>1</v>
      </c>
    </row>
    <row r="250" spans="1:52" x14ac:dyDescent="0.35">
      <c r="A250">
        <v>2025221631132</v>
      </c>
      <c r="B250">
        <v>2025</v>
      </c>
      <c r="C250">
        <v>221631132</v>
      </c>
      <c r="D250">
        <v>388722</v>
      </c>
      <c r="E250">
        <v>264473</v>
      </c>
      <c r="F250">
        <v>-2.1667200000000002</v>
      </c>
      <c r="G250">
        <v>52.278289999999998</v>
      </c>
      <c r="H250">
        <v>22</v>
      </c>
      <c r="I250">
        <v>3</v>
      </c>
      <c r="J250" t="str">
        <f>VLOOKUP(I250, Lookups!$B$1:$C$4, 2, FALSE)</f>
        <v>Slight</v>
      </c>
      <c r="K250">
        <v>1</v>
      </c>
      <c r="L250">
        <v>1</v>
      </c>
      <c r="M250" s="1">
        <v>45888</v>
      </c>
      <c r="N250">
        <v>3</v>
      </c>
      <c r="O250" t="str">
        <f>VLOOKUP(N250, Lookups!$B$6:$C$12, 2, FALSE)</f>
        <v>Tuesday</v>
      </c>
      <c r="P250" s="2">
        <v>0.5756944444444444</v>
      </c>
      <c r="Q250">
        <v>-1</v>
      </c>
      <c r="R250" t="s">
        <v>54</v>
      </c>
      <c r="S250" t="s">
        <v>45</v>
      </c>
      <c r="T250" t="s">
        <v>45</v>
      </c>
      <c r="U250">
        <v>6</v>
      </c>
      <c r="V250" t="str">
        <f>VLOOKUP(U250, Lookups!$B$51:$C$57, 2, FALSE)</f>
        <v>Unclassified</v>
      </c>
      <c r="W250">
        <v>0</v>
      </c>
      <c r="X250" t="s">
        <v>362</v>
      </c>
      <c r="Y250">
        <v>6</v>
      </c>
      <c r="Z250" t="str">
        <f>VLOOKUP(Y250, Lookups!$B$14:$C$21, 2, FALSE)</f>
        <v>Single carriageway</v>
      </c>
      <c r="AA250">
        <v>30</v>
      </c>
      <c r="AB250">
        <v>-1</v>
      </c>
      <c r="AC250">
        <v>0</v>
      </c>
      <c r="AD250">
        <v>-1</v>
      </c>
      <c r="AE250">
        <v>6</v>
      </c>
      <c r="AF250">
        <v>0</v>
      </c>
      <c r="AG250">
        <v>-1</v>
      </c>
      <c r="AH250">
        <v>-1</v>
      </c>
      <c r="AI250">
        <v>0</v>
      </c>
      <c r="AJ250">
        <v>1</v>
      </c>
      <c r="AK250" t="str">
        <f>VLOOKUP(AJ250, Lookups!$B$23:$C$28, 2, FALSE)</f>
        <v>Daylight</v>
      </c>
      <c r="AL250">
        <v>1</v>
      </c>
      <c r="AM250" t="str">
        <f>VLOOKUP(AL250, Lookups!$B$30:$C$39, 2, FALSE)</f>
        <v>Fine / Clear</v>
      </c>
      <c r="AN250">
        <v>1</v>
      </c>
      <c r="AO250" t="str">
        <f>VLOOKUP(AN250, Lookups!$B$41:$C$49, 2, FALSE)</f>
        <v>Dry</v>
      </c>
      <c r="AP250">
        <v>-1</v>
      </c>
      <c r="AQ250">
        <v>-1</v>
      </c>
      <c r="AR250">
        <v>0</v>
      </c>
      <c r="AS250">
        <v>1</v>
      </c>
      <c r="AT250">
        <v>3</v>
      </c>
      <c r="AU250">
        <v>2</v>
      </c>
      <c r="AV250" t="s">
        <v>206</v>
      </c>
      <c r="AW250">
        <v>3</v>
      </c>
      <c r="AX250">
        <v>1</v>
      </c>
      <c r="AY250">
        <v>0</v>
      </c>
      <c r="AZ250">
        <v>1</v>
      </c>
    </row>
    <row r="251" spans="1:52" x14ac:dyDescent="0.35">
      <c r="A251">
        <v>2025221644038</v>
      </c>
      <c r="B251">
        <v>2025</v>
      </c>
      <c r="C251">
        <v>221644038</v>
      </c>
      <c r="D251">
        <v>383450</v>
      </c>
      <c r="E251">
        <v>252220</v>
      </c>
      <c r="F251">
        <v>-2.2433900000000002</v>
      </c>
      <c r="G251">
        <v>52.167990000000003</v>
      </c>
      <c r="H251">
        <v>22</v>
      </c>
      <c r="I251">
        <v>2</v>
      </c>
      <c r="J251" t="str">
        <f>VLOOKUP(I251, Lookups!$B$1:$C$4, 2, FALSE)</f>
        <v>Serious</v>
      </c>
      <c r="K251">
        <v>2</v>
      </c>
      <c r="L251">
        <v>1</v>
      </c>
      <c r="M251" s="1">
        <v>45912</v>
      </c>
      <c r="N251">
        <v>6</v>
      </c>
      <c r="O251" t="str">
        <f>VLOOKUP(N251, Lookups!$B$6:$C$12, 2, FALSE)</f>
        <v>Friday</v>
      </c>
      <c r="P251" s="2">
        <v>0.73263888888888884</v>
      </c>
      <c r="Q251">
        <v>-1</v>
      </c>
      <c r="R251" t="s">
        <v>49</v>
      </c>
      <c r="S251" t="s">
        <v>45</v>
      </c>
      <c r="T251" t="s">
        <v>45</v>
      </c>
      <c r="U251">
        <v>3</v>
      </c>
      <c r="V251" t="str">
        <f>VLOOKUP(U251, Lookups!$B$51:$C$57, 2, FALSE)</f>
        <v>A</v>
      </c>
      <c r="W251">
        <v>4440</v>
      </c>
      <c r="X251" t="str">
        <f t="shared" ref="X251:X254" si="37">V251&amp;W251</f>
        <v>A4440</v>
      </c>
      <c r="Y251">
        <v>6</v>
      </c>
      <c r="Z251" t="str">
        <f>VLOOKUP(Y251, Lookups!$B$14:$C$21, 2, FALSE)</f>
        <v>Single carriageway</v>
      </c>
      <c r="AA251">
        <v>60</v>
      </c>
      <c r="AB251">
        <v>-1</v>
      </c>
      <c r="AC251">
        <v>19</v>
      </c>
      <c r="AD251">
        <v>4</v>
      </c>
      <c r="AE251">
        <v>3</v>
      </c>
      <c r="AF251">
        <v>449</v>
      </c>
      <c r="AG251">
        <v>-1</v>
      </c>
      <c r="AH251">
        <v>-1</v>
      </c>
      <c r="AI251">
        <v>0</v>
      </c>
      <c r="AJ251">
        <v>1</v>
      </c>
      <c r="AK251" t="str">
        <f>VLOOKUP(AJ251, Lookups!$B$23:$C$28, 2, FALSE)</f>
        <v>Daylight</v>
      </c>
      <c r="AL251">
        <v>1</v>
      </c>
      <c r="AM251" t="str">
        <f>VLOOKUP(AL251, Lookups!$B$30:$C$39, 2, FALSE)</f>
        <v>Fine / Clear</v>
      </c>
      <c r="AN251">
        <v>1</v>
      </c>
      <c r="AO251" t="str">
        <f>VLOOKUP(AN251, Lookups!$B$41:$C$49, 2, FALSE)</f>
        <v>Dry</v>
      </c>
      <c r="AP251">
        <v>-1</v>
      </c>
      <c r="AQ251">
        <v>-1</v>
      </c>
      <c r="AR251">
        <v>0</v>
      </c>
      <c r="AS251">
        <v>2</v>
      </c>
      <c r="AT251">
        <v>3</v>
      </c>
      <c r="AU251">
        <v>2</v>
      </c>
      <c r="AV251" t="s">
        <v>65</v>
      </c>
      <c r="AW251">
        <v>7</v>
      </c>
      <c r="AX251">
        <v>1</v>
      </c>
      <c r="AY251">
        <v>1</v>
      </c>
      <c r="AZ251">
        <v>0</v>
      </c>
    </row>
    <row r="252" spans="1:52" x14ac:dyDescent="0.35">
      <c r="A252">
        <v>2025221669236</v>
      </c>
      <c r="B252">
        <v>2025</v>
      </c>
      <c r="C252">
        <v>221669236</v>
      </c>
      <c r="D252">
        <v>381206</v>
      </c>
      <c r="E252">
        <v>277335</v>
      </c>
      <c r="F252">
        <v>-2.2776100000000001</v>
      </c>
      <c r="G252">
        <v>52.393709999999999</v>
      </c>
      <c r="H252">
        <v>22</v>
      </c>
      <c r="I252">
        <v>2</v>
      </c>
      <c r="J252" t="str">
        <f>VLOOKUP(I252, Lookups!$B$1:$C$4, 2, FALSE)</f>
        <v>Serious</v>
      </c>
      <c r="K252">
        <v>2</v>
      </c>
      <c r="L252">
        <v>1</v>
      </c>
      <c r="M252" s="1">
        <v>45977</v>
      </c>
      <c r="N252">
        <v>1</v>
      </c>
      <c r="O252" t="str">
        <f>VLOOKUP(N252, Lookups!$B$6:$C$12, 2, FALSE)</f>
        <v>Sunday</v>
      </c>
      <c r="P252" s="2">
        <v>0.43611111111111112</v>
      </c>
      <c r="Q252">
        <v>-1</v>
      </c>
      <c r="R252" t="s">
        <v>44</v>
      </c>
      <c r="S252" t="s">
        <v>45</v>
      </c>
      <c r="T252" t="s">
        <v>45</v>
      </c>
      <c r="U252">
        <v>4</v>
      </c>
      <c r="V252" t="str">
        <f>VLOOKUP(U252, Lookups!$B$51:$C$57, 2, FALSE)</f>
        <v>B</v>
      </c>
      <c r="W252">
        <v>4190</v>
      </c>
      <c r="X252" t="str">
        <f t="shared" si="37"/>
        <v>B4190</v>
      </c>
      <c r="Y252">
        <v>1</v>
      </c>
      <c r="Z252" t="str">
        <f>VLOOKUP(Y252, Lookups!$B$14:$C$21, 2, FALSE)</f>
        <v>Roundabout</v>
      </c>
      <c r="AA252">
        <v>30</v>
      </c>
      <c r="AB252">
        <v>-1</v>
      </c>
      <c r="AC252">
        <v>-1</v>
      </c>
      <c r="AD252">
        <v>4</v>
      </c>
      <c r="AE252">
        <v>6</v>
      </c>
      <c r="AF252">
        <v>0</v>
      </c>
      <c r="AG252">
        <v>-1</v>
      </c>
      <c r="AH252">
        <v>-1</v>
      </c>
      <c r="AI252">
        <v>0</v>
      </c>
      <c r="AJ252">
        <v>1</v>
      </c>
      <c r="AK252" t="str">
        <f>VLOOKUP(AJ252, Lookups!$B$23:$C$28, 2, FALSE)</f>
        <v>Daylight</v>
      </c>
      <c r="AL252">
        <v>1</v>
      </c>
      <c r="AM252" t="str">
        <f>VLOOKUP(AL252, Lookups!$B$30:$C$39, 2, FALSE)</f>
        <v>Fine / Clear</v>
      </c>
      <c r="AN252">
        <v>1</v>
      </c>
      <c r="AO252" t="str">
        <f>VLOOKUP(AN252, Lookups!$B$41:$C$49, 2, FALSE)</f>
        <v>Dry</v>
      </c>
      <c r="AP252">
        <v>-1</v>
      </c>
      <c r="AQ252">
        <v>-1</v>
      </c>
      <c r="AR252">
        <v>0</v>
      </c>
      <c r="AS252">
        <v>1</v>
      </c>
      <c r="AT252">
        <v>1</v>
      </c>
      <c r="AU252">
        <v>2</v>
      </c>
      <c r="AV252" t="s">
        <v>207</v>
      </c>
      <c r="AW252">
        <v>7</v>
      </c>
      <c r="AX252">
        <v>1</v>
      </c>
      <c r="AY252">
        <v>1</v>
      </c>
      <c r="AZ252">
        <v>0</v>
      </c>
    </row>
    <row r="253" spans="1:52" x14ac:dyDescent="0.35">
      <c r="A253">
        <v>2025221676190</v>
      </c>
      <c r="B253">
        <v>2025</v>
      </c>
      <c r="C253">
        <v>221676190</v>
      </c>
      <c r="D253">
        <v>386955</v>
      </c>
      <c r="E253">
        <v>258993</v>
      </c>
      <c r="F253">
        <v>-2.1924100000000002</v>
      </c>
      <c r="G253">
        <v>52.22898</v>
      </c>
      <c r="H253">
        <v>22</v>
      </c>
      <c r="I253">
        <v>1</v>
      </c>
      <c r="J253" t="str">
        <f>VLOOKUP(I253, Lookups!$B$1:$C$4, 2, FALSE)</f>
        <v>Fatal</v>
      </c>
      <c r="K253">
        <v>1</v>
      </c>
      <c r="L253">
        <v>1</v>
      </c>
      <c r="M253" s="1">
        <v>45991</v>
      </c>
      <c r="N253">
        <v>1</v>
      </c>
      <c r="O253" t="str">
        <f>VLOOKUP(N253, Lookups!$B$6:$C$12, 2, FALSE)</f>
        <v>Sunday</v>
      </c>
      <c r="P253" s="2">
        <v>0.74583333333333335</v>
      </c>
      <c r="Q253">
        <v>-1</v>
      </c>
      <c r="R253" t="s">
        <v>54</v>
      </c>
      <c r="S253" t="s">
        <v>45</v>
      </c>
      <c r="T253" t="s">
        <v>45</v>
      </c>
      <c r="U253">
        <v>3</v>
      </c>
      <c r="V253" t="str">
        <f>VLOOKUP(U253, Lookups!$B$51:$C$57, 2, FALSE)</f>
        <v>A</v>
      </c>
      <c r="W253">
        <v>38</v>
      </c>
      <c r="X253" t="str">
        <f t="shared" si="37"/>
        <v>A38</v>
      </c>
      <c r="Y253">
        <v>6</v>
      </c>
      <c r="Z253" t="str">
        <f>VLOOKUP(Y253, Lookups!$B$14:$C$21, 2, FALSE)</f>
        <v>Single carriageway</v>
      </c>
      <c r="AA253">
        <v>30</v>
      </c>
      <c r="AB253">
        <v>-1</v>
      </c>
      <c r="AC253">
        <v>0</v>
      </c>
      <c r="AD253">
        <v>-1</v>
      </c>
      <c r="AE253">
        <v>0</v>
      </c>
      <c r="AF253">
        <v>-1</v>
      </c>
      <c r="AG253">
        <v>-1</v>
      </c>
      <c r="AH253">
        <v>-1</v>
      </c>
      <c r="AI253">
        <v>0</v>
      </c>
      <c r="AJ253">
        <v>4</v>
      </c>
      <c r="AK253" t="str">
        <f>VLOOKUP(AJ253, Lookups!$B$23:$C$28, 2, FALSE)</f>
        <v>Darkness (Lit)</v>
      </c>
      <c r="AL253">
        <v>1</v>
      </c>
      <c r="AM253" t="str">
        <f>VLOOKUP(AL253, Lookups!$B$30:$C$39, 2, FALSE)</f>
        <v>Fine / Clear</v>
      </c>
      <c r="AN253">
        <v>1</v>
      </c>
      <c r="AO253" t="str">
        <f>VLOOKUP(AN253, Lookups!$B$41:$C$49, 2, FALSE)</f>
        <v>Dry</v>
      </c>
      <c r="AP253">
        <v>-1</v>
      </c>
      <c r="AQ253">
        <v>-1</v>
      </c>
      <c r="AR253">
        <v>0</v>
      </c>
      <c r="AS253">
        <v>2</v>
      </c>
      <c r="AT253">
        <v>1</v>
      </c>
      <c r="AU253">
        <v>2</v>
      </c>
      <c r="AV253" t="s">
        <v>66</v>
      </c>
      <c r="AW253">
        <v>1</v>
      </c>
      <c r="AX253">
        <v>1</v>
      </c>
      <c r="AY253">
        <v>0</v>
      </c>
      <c r="AZ253">
        <v>0</v>
      </c>
    </row>
    <row r="254" spans="1:52" x14ac:dyDescent="0.35">
      <c r="A254">
        <v>2025221538294</v>
      </c>
      <c r="B254">
        <v>2025</v>
      </c>
      <c r="C254">
        <v>221538294</v>
      </c>
      <c r="D254">
        <v>384454</v>
      </c>
      <c r="E254">
        <v>260773</v>
      </c>
      <c r="F254">
        <v>-2.2291099999999999</v>
      </c>
      <c r="G254">
        <v>52.24492</v>
      </c>
      <c r="H254">
        <v>22</v>
      </c>
      <c r="I254">
        <v>3</v>
      </c>
      <c r="J254" t="str">
        <f>VLOOKUP(I254, Lookups!$B$1:$C$4, 2, FALSE)</f>
        <v>Slight</v>
      </c>
      <c r="K254">
        <v>1</v>
      </c>
      <c r="L254">
        <v>1</v>
      </c>
      <c r="M254" s="1">
        <v>45663</v>
      </c>
      <c r="N254">
        <v>2</v>
      </c>
      <c r="O254" t="str">
        <f>VLOOKUP(N254, Lookups!$B$6:$C$12, 2, FALSE)</f>
        <v>Monday</v>
      </c>
      <c r="P254" s="2">
        <v>0.21875</v>
      </c>
      <c r="Q254">
        <v>-1</v>
      </c>
      <c r="R254" t="s">
        <v>54</v>
      </c>
      <c r="S254" t="s">
        <v>45</v>
      </c>
      <c r="T254" t="s">
        <v>45</v>
      </c>
      <c r="U254">
        <v>3</v>
      </c>
      <c r="V254" t="str">
        <f>VLOOKUP(U254, Lookups!$B$51:$C$57, 2, FALSE)</f>
        <v>A</v>
      </c>
      <c r="W254">
        <v>449</v>
      </c>
      <c r="X254" t="str">
        <f t="shared" si="37"/>
        <v>A449</v>
      </c>
      <c r="Y254">
        <v>3</v>
      </c>
      <c r="Z254" t="str">
        <f>VLOOKUP(Y254, Lookups!$B$14:$C$21, 2, FALSE)</f>
        <v>Dual carriageway</v>
      </c>
      <c r="AA254">
        <v>70</v>
      </c>
      <c r="AB254">
        <v>-1</v>
      </c>
      <c r="AC254">
        <v>0</v>
      </c>
      <c r="AD254">
        <v>-1</v>
      </c>
      <c r="AE254">
        <v>0</v>
      </c>
      <c r="AF254">
        <v>-1</v>
      </c>
      <c r="AG254">
        <v>-1</v>
      </c>
      <c r="AH254">
        <v>-1</v>
      </c>
      <c r="AI254">
        <v>0</v>
      </c>
      <c r="AJ254">
        <v>6</v>
      </c>
      <c r="AK254" t="str">
        <f>VLOOKUP(AJ254, Lookups!$B$23:$C$28, 2, FALSE)</f>
        <v>Darkness (Unlit)</v>
      </c>
      <c r="AL254">
        <v>3</v>
      </c>
      <c r="AM254" t="str">
        <f>VLOOKUP(AL254, Lookups!$B$30:$C$39, 2, FALSE)</f>
        <v>Snow / Ice</v>
      </c>
      <c r="AN254">
        <v>5</v>
      </c>
      <c r="AO254" t="str">
        <f>VLOOKUP(AN254, Lookups!$B$41:$C$49, 2, FALSE)</f>
        <v>Flood over 3cm</v>
      </c>
      <c r="AP254">
        <v>-1</v>
      </c>
      <c r="AQ254">
        <v>-1</v>
      </c>
      <c r="AR254">
        <v>0</v>
      </c>
      <c r="AS254">
        <v>2</v>
      </c>
      <c r="AT254">
        <v>1</v>
      </c>
      <c r="AU254">
        <v>2</v>
      </c>
      <c r="AV254" t="s">
        <v>124</v>
      </c>
      <c r="AW254">
        <v>3</v>
      </c>
      <c r="AX254">
        <v>1</v>
      </c>
      <c r="AY254">
        <v>0</v>
      </c>
      <c r="AZ254">
        <v>1</v>
      </c>
    </row>
    <row r="255" spans="1:52" x14ac:dyDescent="0.35">
      <c r="A255">
        <v>2025221600495</v>
      </c>
      <c r="B255">
        <v>2025</v>
      </c>
      <c r="C255">
        <v>221600495</v>
      </c>
      <c r="D255">
        <v>382245</v>
      </c>
      <c r="E255">
        <v>279188</v>
      </c>
      <c r="F255">
        <v>-2.2624399999999998</v>
      </c>
      <c r="G255">
        <v>52.410400000000003</v>
      </c>
      <c r="H255">
        <v>22</v>
      </c>
      <c r="I255">
        <v>3</v>
      </c>
      <c r="J255" t="str">
        <f>VLOOKUP(I255, Lookups!$B$1:$C$4, 2, FALSE)</f>
        <v>Slight</v>
      </c>
      <c r="K255">
        <v>2</v>
      </c>
      <c r="L255">
        <v>1</v>
      </c>
      <c r="M255" s="1">
        <v>45807</v>
      </c>
      <c r="N255">
        <v>6</v>
      </c>
      <c r="O255" t="str">
        <f>VLOOKUP(N255, Lookups!$B$6:$C$12, 2, FALSE)</f>
        <v>Friday</v>
      </c>
      <c r="P255" s="2">
        <v>0.52430555555555558</v>
      </c>
      <c r="Q255">
        <v>-1</v>
      </c>
      <c r="R255" t="s">
        <v>44</v>
      </c>
      <c r="S255" t="s">
        <v>45</v>
      </c>
      <c r="T255" t="s">
        <v>45</v>
      </c>
      <c r="U255">
        <v>6</v>
      </c>
      <c r="V255" t="str">
        <f>VLOOKUP(U255, Lookups!$B$51:$C$57, 2, FALSE)</f>
        <v>Unclassified</v>
      </c>
      <c r="W255">
        <v>0</v>
      </c>
      <c r="X255" t="s">
        <v>362</v>
      </c>
      <c r="Y255">
        <v>6</v>
      </c>
      <c r="Z255" t="str">
        <f>VLOOKUP(Y255, Lookups!$B$14:$C$21, 2, FALSE)</f>
        <v>Single carriageway</v>
      </c>
      <c r="AA255">
        <v>30</v>
      </c>
      <c r="AB255">
        <v>-1</v>
      </c>
      <c r="AC255">
        <v>13</v>
      </c>
      <c r="AD255">
        <v>4</v>
      </c>
      <c r="AE255">
        <v>6</v>
      </c>
      <c r="AF255">
        <v>0</v>
      </c>
      <c r="AG255">
        <v>-1</v>
      </c>
      <c r="AH255">
        <v>-1</v>
      </c>
      <c r="AI255">
        <v>0</v>
      </c>
      <c r="AJ255">
        <v>1</v>
      </c>
      <c r="AK255" t="str">
        <f>VLOOKUP(AJ255, Lookups!$B$23:$C$28, 2, FALSE)</f>
        <v>Daylight</v>
      </c>
      <c r="AL255">
        <v>1</v>
      </c>
      <c r="AM255" t="str">
        <f>VLOOKUP(AL255, Lookups!$B$30:$C$39, 2, FALSE)</f>
        <v>Fine / Clear</v>
      </c>
      <c r="AN255">
        <v>1</v>
      </c>
      <c r="AO255" t="str">
        <f>VLOOKUP(AN255, Lookups!$B$41:$C$49, 2, FALSE)</f>
        <v>Dry</v>
      </c>
      <c r="AP255">
        <v>-1</v>
      </c>
      <c r="AQ255">
        <v>-1</v>
      </c>
      <c r="AR255">
        <v>0</v>
      </c>
      <c r="AS255">
        <v>1</v>
      </c>
      <c r="AT255">
        <v>1</v>
      </c>
      <c r="AU255">
        <v>2</v>
      </c>
      <c r="AV255" t="s">
        <v>175</v>
      </c>
      <c r="AW255">
        <v>3</v>
      </c>
      <c r="AX255">
        <v>1</v>
      </c>
      <c r="AY255">
        <v>0</v>
      </c>
      <c r="AZ255">
        <v>1</v>
      </c>
    </row>
    <row r="256" spans="1:52" x14ac:dyDescent="0.35">
      <c r="A256">
        <v>2025221612559</v>
      </c>
      <c r="B256">
        <v>2025</v>
      </c>
      <c r="C256">
        <v>221612559</v>
      </c>
      <c r="D256">
        <v>378002</v>
      </c>
      <c r="E256">
        <v>233458</v>
      </c>
      <c r="F256">
        <v>-2.3218299999999998</v>
      </c>
      <c r="G256">
        <v>51.999119999999998</v>
      </c>
      <c r="H256">
        <v>22</v>
      </c>
      <c r="I256">
        <v>3</v>
      </c>
      <c r="J256" t="str">
        <f>VLOOKUP(I256, Lookups!$B$1:$C$4, 2, FALSE)</f>
        <v>Slight</v>
      </c>
      <c r="K256">
        <v>2</v>
      </c>
      <c r="L256">
        <v>2</v>
      </c>
      <c r="M256" s="1">
        <v>45845</v>
      </c>
      <c r="N256">
        <v>2</v>
      </c>
      <c r="O256" t="str">
        <f>VLOOKUP(N256, Lookups!$B$6:$C$12, 2, FALSE)</f>
        <v>Monday</v>
      </c>
      <c r="P256" s="2">
        <v>0.33333333333333331</v>
      </c>
      <c r="Q256">
        <v>-1</v>
      </c>
      <c r="R256" t="s">
        <v>49</v>
      </c>
      <c r="S256" t="s">
        <v>45</v>
      </c>
      <c r="T256" t="s">
        <v>45</v>
      </c>
      <c r="U256">
        <v>4</v>
      </c>
      <c r="V256" t="str">
        <f>VLOOKUP(U256, Lookups!$B$51:$C$57, 2, FALSE)</f>
        <v>B</v>
      </c>
      <c r="W256">
        <v>4208</v>
      </c>
      <c r="X256" t="str">
        <f>V256&amp;W256</f>
        <v>B4208</v>
      </c>
      <c r="Y256">
        <v>6</v>
      </c>
      <c r="Z256" t="str">
        <f>VLOOKUP(Y256, Lookups!$B$14:$C$21, 2, FALSE)</f>
        <v>Single carriageway</v>
      </c>
      <c r="AA256">
        <v>60</v>
      </c>
      <c r="AB256">
        <v>-1</v>
      </c>
      <c r="AC256">
        <v>13</v>
      </c>
      <c r="AD256">
        <v>4</v>
      </c>
      <c r="AE256">
        <v>6</v>
      </c>
      <c r="AF256">
        <v>0</v>
      </c>
      <c r="AG256">
        <v>-1</v>
      </c>
      <c r="AH256">
        <v>-1</v>
      </c>
      <c r="AI256">
        <v>0</v>
      </c>
      <c r="AJ256">
        <v>1</v>
      </c>
      <c r="AK256" t="str">
        <f>VLOOKUP(AJ256, Lookups!$B$23:$C$28, 2, FALSE)</f>
        <v>Daylight</v>
      </c>
      <c r="AL256">
        <v>1</v>
      </c>
      <c r="AM256" t="str">
        <f>VLOOKUP(AL256, Lookups!$B$30:$C$39, 2, FALSE)</f>
        <v>Fine / Clear</v>
      </c>
      <c r="AN256">
        <v>1</v>
      </c>
      <c r="AO256" t="str">
        <f>VLOOKUP(AN256, Lookups!$B$41:$C$49, 2, FALSE)</f>
        <v>Dry</v>
      </c>
      <c r="AP256">
        <v>-1</v>
      </c>
      <c r="AQ256">
        <v>-1</v>
      </c>
      <c r="AR256">
        <v>12</v>
      </c>
      <c r="AS256">
        <v>2</v>
      </c>
      <c r="AT256">
        <v>3</v>
      </c>
      <c r="AU256">
        <v>2</v>
      </c>
      <c r="AV256" t="s">
        <v>82</v>
      </c>
      <c r="AW256">
        <v>3</v>
      </c>
      <c r="AX256">
        <v>1</v>
      </c>
      <c r="AY256">
        <v>0</v>
      </c>
      <c r="AZ256">
        <v>1</v>
      </c>
    </row>
    <row r="257" spans="1:52" x14ac:dyDescent="0.35">
      <c r="A257">
        <v>2025221627086</v>
      </c>
      <c r="B257">
        <v>2025</v>
      </c>
      <c r="C257">
        <v>221627086</v>
      </c>
      <c r="D257">
        <v>387306</v>
      </c>
      <c r="E257">
        <v>240457</v>
      </c>
      <c r="F257">
        <v>-2.1865700000000001</v>
      </c>
      <c r="G257">
        <v>52.062339999999999</v>
      </c>
      <c r="H257">
        <v>22</v>
      </c>
      <c r="I257">
        <v>3</v>
      </c>
      <c r="J257" t="str">
        <f>VLOOKUP(I257, Lookups!$B$1:$C$4, 2, FALSE)</f>
        <v>Slight</v>
      </c>
      <c r="K257">
        <v>2</v>
      </c>
      <c r="L257">
        <v>1</v>
      </c>
      <c r="M257" s="1">
        <v>45878</v>
      </c>
      <c r="N257">
        <v>7</v>
      </c>
      <c r="O257" t="str">
        <f>VLOOKUP(N257, Lookups!$B$6:$C$12, 2, FALSE)</f>
        <v>Saturday</v>
      </c>
      <c r="P257" s="2">
        <v>0.59375</v>
      </c>
      <c r="Q257">
        <v>-1</v>
      </c>
      <c r="R257" t="s">
        <v>49</v>
      </c>
      <c r="S257" t="s">
        <v>45</v>
      </c>
      <c r="T257" t="s">
        <v>45</v>
      </c>
      <c r="U257">
        <v>6</v>
      </c>
      <c r="V257" t="str">
        <f>VLOOKUP(U257, Lookups!$B$51:$C$57, 2, FALSE)</f>
        <v>Unclassified</v>
      </c>
      <c r="W257">
        <v>0</v>
      </c>
      <c r="X257" t="s">
        <v>362</v>
      </c>
      <c r="Y257">
        <v>6</v>
      </c>
      <c r="Z257" t="str">
        <f>VLOOKUP(Y257, Lookups!$B$14:$C$21, 2, FALSE)</f>
        <v>Single carriageway</v>
      </c>
      <c r="AA257">
        <v>60</v>
      </c>
      <c r="AB257">
        <v>-1</v>
      </c>
      <c r="AC257">
        <v>0</v>
      </c>
      <c r="AD257">
        <v>-1</v>
      </c>
      <c r="AE257">
        <v>6</v>
      </c>
      <c r="AF257">
        <v>0</v>
      </c>
      <c r="AG257">
        <v>-1</v>
      </c>
      <c r="AH257">
        <v>-1</v>
      </c>
      <c r="AI257">
        <v>0</v>
      </c>
      <c r="AJ257">
        <v>1</v>
      </c>
      <c r="AK257" t="str">
        <f>VLOOKUP(AJ257, Lookups!$B$23:$C$28, 2, FALSE)</f>
        <v>Daylight</v>
      </c>
      <c r="AL257">
        <v>1</v>
      </c>
      <c r="AM257" t="str">
        <f>VLOOKUP(AL257, Lookups!$B$30:$C$39, 2, FALSE)</f>
        <v>Fine / Clear</v>
      </c>
      <c r="AN257">
        <v>1</v>
      </c>
      <c r="AO257" t="str">
        <f>VLOOKUP(AN257, Lookups!$B$41:$C$49, 2, FALSE)</f>
        <v>Dry</v>
      </c>
      <c r="AP257">
        <v>-1</v>
      </c>
      <c r="AQ257">
        <v>-1</v>
      </c>
      <c r="AR257">
        <v>0</v>
      </c>
      <c r="AS257">
        <v>2</v>
      </c>
      <c r="AT257">
        <v>1</v>
      </c>
      <c r="AU257">
        <v>2</v>
      </c>
      <c r="AV257" t="s">
        <v>189</v>
      </c>
      <c r="AW257">
        <v>3</v>
      </c>
      <c r="AX257">
        <v>1</v>
      </c>
      <c r="AY257">
        <v>0</v>
      </c>
      <c r="AZ257">
        <v>1</v>
      </c>
    </row>
    <row r="258" spans="1:52" x14ac:dyDescent="0.35">
      <c r="A258">
        <v>2025221661506</v>
      </c>
      <c r="B258">
        <v>2025</v>
      </c>
      <c r="C258">
        <v>221661506</v>
      </c>
      <c r="D258">
        <v>400849</v>
      </c>
      <c r="E258">
        <v>256257</v>
      </c>
      <c r="F258">
        <v>-1.98899</v>
      </c>
      <c r="G258">
        <v>52.204540000000001</v>
      </c>
      <c r="H258">
        <v>22</v>
      </c>
      <c r="I258">
        <v>3</v>
      </c>
      <c r="J258" t="str">
        <f>VLOOKUP(I258, Lookups!$B$1:$C$4, 2, FALSE)</f>
        <v>Slight</v>
      </c>
      <c r="K258">
        <v>2</v>
      </c>
      <c r="L258">
        <v>1</v>
      </c>
      <c r="M258" s="1">
        <v>45960</v>
      </c>
      <c r="N258">
        <v>5</v>
      </c>
      <c r="O258" t="str">
        <f>VLOOKUP(N258, Lookups!$B$6:$C$12, 2, FALSE)</f>
        <v>Thursday</v>
      </c>
      <c r="P258" s="2">
        <v>0.55208333333333337</v>
      </c>
      <c r="Q258">
        <v>-1</v>
      </c>
      <c r="R258" t="s">
        <v>54</v>
      </c>
      <c r="S258" t="s">
        <v>45</v>
      </c>
      <c r="T258" t="s">
        <v>45</v>
      </c>
      <c r="U258">
        <v>3</v>
      </c>
      <c r="V258" t="str">
        <f>VLOOKUP(U258, Lookups!$B$51:$C$57, 2, FALSE)</f>
        <v>A</v>
      </c>
      <c r="W258">
        <v>422</v>
      </c>
      <c r="X258" t="str">
        <f>V258&amp;W258</f>
        <v>A422</v>
      </c>
      <c r="Y258">
        <v>6</v>
      </c>
      <c r="Z258" t="str">
        <f>VLOOKUP(Y258, Lookups!$B$14:$C$21, 2, FALSE)</f>
        <v>Single carriageway</v>
      </c>
      <c r="AA258">
        <v>60</v>
      </c>
      <c r="AB258">
        <v>-1</v>
      </c>
      <c r="AC258">
        <v>0</v>
      </c>
      <c r="AD258">
        <v>-1</v>
      </c>
      <c r="AE258">
        <v>6</v>
      </c>
      <c r="AF258">
        <v>0</v>
      </c>
      <c r="AG258">
        <v>-1</v>
      </c>
      <c r="AH258">
        <v>-1</v>
      </c>
      <c r="AI258">
        <v>0</v>
      </c>
      <c r="AJ258">
        <v>1</v>
      </c>
      <c r="AK258" t="str">
        <f>VLOOKUP(AJ258, Lookups!$B$23:$C$28, 2, FALSE)</f>
        <v>Daylight</v>
      </c>
      <c r="AL258">
        <v>1</v>
      </c>
      <c r="AM258" t="str">
        <f>VLOOKUP(AL258, Lookups!$B$30:$C$39, 2, FALSE)</f>
        <v>Fine / Clear</v>
      </c>
      <c r="AN258">
        <v>1</v>
      </c>
      <c r="AO258" t="str">
        <f>VLOOKUP(AN258, Lookups!$B$41:$C$49, 2, FALSE)</f>
        <v>Dry</v>
      </c>
      <c r="AP258">
        <v>-1</v>
      </c>
      <c r="AQ258">
        <v>-1</v>
      </c>
      <c r="AR258">
        <v>0</v>
      </c>
      <c r="AS258">
        <v>2</v>
      </c>
      <c r="AT258">
        <v>1</v>
      </c>
      <c r="AU258">
        <v>2</v>
      </c>
      <c r="AV258" t="s">
        <v>141</v>
      </c>
      <c r="AW258">
        <v>3</v>
      </c>
      <c r="AX258">
        <v>1</v>
      </c>
      <c r="AY258">
        <v>0</v>
      </c>
      <c r="AZ258">
        <v>1</v>
      </c>
    </row>
    <row r="259" spans="1:52" x14ac:dyDescent="0.35">
      <c r="A259">
        <v>2025221662636</v>
      </c>
      <c r="B259">
        <v>2025</v>
      </c>
      <c r="C259">
        <v>221662636</v>
      </c>
      <c r="D259">
        <v>402345</v>
      </c>
      <c r="E259">
        <v>267472</v>
      </c>
      <c r="F259">
        <v>-1.9670300000000001</v>
      </c>
      <c r="G259">
        <v>52.30536</v>
      </c>
      <c r="H259">
        <v>22</v>
      </c>
      <c r="I259">
        <v>3</v>
      </c>
      <c r="J259" t="str">
        <f>VLOOKUP(I259, Lookups!$B$1:$C$4, 2, FALSE)</f>
        <v>Slight</v>
      </c>
      <c r="K259">
        <v>1</v>
      </c>
      <c r="L259">
        <v>1</v>
      </c>
      <c r="M259" s="1">
        <v>45963</v>
      </c>
      <c r="N259">
        <v>1</v>
      </c>
      <c r="O259" t="str">
        <f>VLOOKUP(N259, Lookups!$B$6:$C$12, 2, FALSE)</f>
        <v>Sunday</v>
      </c>
      <c r="P259" s="2">
        <v>0.63888888888888884</v>
      </c>
      <c r="Q259">
        <v>-1</v>
      </c>
      <c r="R259" t="s">
        <v>69</v>
      </c>
      <c r="S259" t="s">
        <v>45</v>
      </c>
      <c r="T259" t="s">
        <v>45</v>
      </c>
      <c r="U259">
        <v>6</v>
      </c>
      <c r="V259" t="str">
        <f>VLOOKUP(U259, Lookups!$B$51:$C$57, 2, FALSE)</f>
        <v>Unclassified</v>
      </c>
      <c r="W259">
        <v>0</v>
      </c>
      <c r="X259" t="s">
        <v>362</v>
      </c>
      <c r="Y259">
        <v>6</v>
      </c>
      <c r="Z259" t="str">
        <f>VLOOKUP(Y259, Lookups!$B$14:$C$21, 2, FALSE)</f>
        <v>Single carriageway</v>
      </c>
      <c r="AA259">
        <v>30</v>
      </c>
      <c r="AB259">
        <v>-1</v>
      </c>
      <c r="AC259">
        <v>0</v>
      </c>
      <c r="AD259">
        <v>-1</v>
      </c>
      <c r="AE259">
        <v>0</v>
      </c>
      <c r="AF259">
        <v>-1</v>
      </c>
      <c r="AG259">
        <v>-1</v>
      </c>
      <c r="AH259">
        <v>-1</v>
      </c>
      <c r="AI259">
        <v>0</v>
      </c>
      <c r="AJ259">
        <v>1</v>
      </c>
      <c r="AK259" t="str">
        <f>VLOOKUP(AJ259, Lookups!$B$23:$C$28, 2, FALSE)</f>
        <v>Daylight</v>
      </c>
      <c r="AL259">
        <v>1</v>
      </c>
      <c r="AM259" t="str">
        <f>VLOOKUP(AL259, Lookups!$B$30:$C$39, 2, FALSE)</f>
        <v>Fine / Clear</v>
      </c>
      <c r="AN259">
        <v>1</v>
      </c>
      <c r="AO259" t="str">
        <f>VLOOKUP(AN259, Lookups!$B$41:$C$49, 2, FALSE)</f>
        <v>Dry</v>
      </c>
      <c r="AP259">
        <v>-1</v>
      </c>
      <c r="AQ259">
        <v>-1</v>
      </c>
      <c r="AR259">
        <v>0</v>
      </c>
      <c r="AS259">
        <v>1</v>
      </c>
      <c r="AT259">
        <v>1</v>
      </c>
      <c r="AU259">
        <v>2</v>
      </c>
      <c r="AV259" t="s">
        <v>208</v>
      </c>
      <c r="AW259">
        <v>3</v>
      </c>
      <c r="AX259">
        <v>1</v>
      </c>
      <c r="AY259">
        <v>0</v>
      </c>
      <c r="AZ259">
        <v>1</v>
      </c>
    </row>
    <row r="260" spans="1:52" x14ac:dyDescent="0.35">
      <c r="A260">
        <v>2025221566221</v>
      </c>
      <c r="B260">
        <v>2025</v>
      </c>
      <c r="C260">
        <v>221566221</v>
      </c>
      <c r="D260">
        <v>403457</v>
      </c>
      <c r="E260">
        <v>268044</v>
      </c>
      <c r="F260">
        <v>-1.95072</v>
      </c>
      <c r="G260">
        <v>52.310499999999998</v>
      </c>
      <c r="H260">
        <v>22</v>
      </c>
      <c r="I260">
        <v>3</v>
      </c>
      <c r="J260" t="str">
        <f>VLOOKUP(I260, Lookups!$B$1:$C$4, 2, FALSE)</f>
        <v>Slight</v>
      </c>
      <c r="K260">
        <v>3</v>
      </c>
      <c r="L260">
        <v>1</v>
      </c>
      <c r="M260" s="1">
        <v>45731</v>
      </c>
      <c r="N260">
        <v>7</v>
      </c>
      <c r="O260" t="str">
        <f>VLOOKUP(N260, Lookups!$B$6:$C$12, 2, FALSE)</f>
        <v>Saturday</v>
      </c>
      <c r="P260" s="2">
        <v>0.28472222222222221</v>
      </c>
      <c r="Q260">
        <v>-1</v>
      </c>
      <c r="R260" t="s">
        <v>69</v>
      </c>
      <c r="S260" t="s">
        <v>45</v>
      </c>
      <c r="T260" t="s">
        <v>45</v>
      </c>
      <c r="U260">
        <v>6</v>
      </c>
      <c r="V260" t="str">
        <f>VLOOKUP(U260, Lookups!$B$51:$C$57, 2, FALSE)</f>
        <v>Unclassified</v>
      </c>
      <c r="W260">
        <v>0</v>
      </c>
      <c r="X260" t="s">
        <v>362</v>
      </c>
      <c r="Y260">
        <v>6</v>
      </c>
      <c r="Z260" t="str">
        <f>VLOOKUP(Y260, Lookups!$B$14:$C$21, 2, FALSE)</f>
        <v>Single carriageway</v>
      </c>
      <c r="AA260">
        <v>30</v>
      </c>
      <c r="AB260">
        <v>-1</v>
      </c>
      <c r="AC260">
        <v>0</v>
      </c>
      <c r="AD260">
        <v>-1</v>
      </c>
      <c r="AE260">
        <v>0</v>
      </c>
      <c r="AF260">
        <v>-1</v>
      </c>
      <c r="AG260">
        <v>-1</v>
      </c>
      <c r="AH260">
        <v>-1</v>
      </c>
      <c r="AI260">
        <v>0</v>
      </c>
      <c r="AJ260">
        <v>1</v>
      </c>
      <c r="AK260" t="str">
        <f>VLOOKUP(AJ260, Lookups!$B$23:$C$28, 2, FALSE)</f>
        <v>Daylight</v>
      </c>
      <c r="AL260">
        <v>1</v>
      </c>
      <c r="AM260" t="str">
        <f>VLOOKUP(AL260, Lookups!$B$30:$C$39, 2, FALSE)</f>
        <v>Fine / Clear</v>
      </c>
      <c r="AN260">
        <v>4</v>
      </c>
      <c r="AO260" t="str">
        <f>VLOOKUP(AN260, Lookups!$B$41:$C$49, 2, FALSE)</f>
        <v>Frost or ice</v>
      </c>
      <c r="AP260">
        <v>-1</v>
      </c>
      <c r="AQ260">
        <v>-1</v>
      </c>
      <c r="AR260">
        <v>0</v>
      </c>
      <c r="AS260">
        <v>1</v>
      </c>
      <c r="AT260">
        <v>1</v>
      </c>
      <c r="AU260">
        <v>2</v>
      </c>
      <c r="AV260" t="s">
        <v>209</v>
      </c>
      <c r="AW260">
        <v>3</v>
      </c>
      <c r="AX260">
        <v>1</v>
      </c>
      <c r="AY260">
        <v>0</v>
      </c>
      <c r="AZ260">
        <v>1</v>
      </c>
    </row>
    <row r="261" spans="1:52" x14ac:dyDescent="0.35">
      <c r="A261">
        <v>2025221616787</v>
      </c>
      <c r="B261">
        <v>2025</v>
      </c>
      <c r="C261">
        <v>221616787</v>
      </c>
      <c r="D261">
        <v>379394</v>
      </c>
      <c r="E261">
        <v>248158</v>
      </c>
      <c r="F261">
        <v>-2.3024499999999999</v>
      </c>
      <c r="G261">
        <v>52.131340000000002</v>
      </c>
      <c r="H261">
        <v>22</v>
      </c>
      <c r="I261">
        <v>3</v>
      </c>
      <c r="J261" t="str">
        <f>VLOOKUP(I261, Lookups!$B$1:$C$4, 2, FALSE)</f>
        <v>Slight</v>
      </c>
      <c r="K261">
        <v>2</v>
      </c>
      <c r="L261">
        <v>1</v>
      </c>
      <c r="M261" s="1">
        <v>45850</v>
      </c>
      <c r="N261">
        <v>7</v>
      </c>
      <c r="O261" t="str">
        <f>VLOOKUP(N261, Lookups!$B$6:$C$12, 2, FALSE)</f>
        <v>Saturday</v>
      </c>
      <c r="P261" s="2">
        <v>0.52500000000000002</v>
      </c>
      <c r="Q261">
        <v>-1</v>
      </c>
      <c r="R261" t="s">
        <v>49</v>
      </c>
      <c r="S261" t="s">
        <v>45</v>
      </c>
      <c r="T261" t="s">
        <v>45</v>
      </c>
      <c r="U261">
        <v>6</v>
      </c>
      <c r="V261" t="str">
        <f>VLOOKUP(U261, Lookups!$B$51:$C$57, 2, FALSE)</f>
        <v>Unclassified</v>
      </c>
      <c r="W261">
        <v>0</v>
      </c>
      <c r="X261" t="s">
        <v>362</v>
      </c>
      <c r="Y261">
        <v>1</v>
      </c>
      <c r="Z261" t="str">
        <f>VLOOKUP(Y261, Lookups!$B$14:$C$21, 2, FALSE)</f>
        <v>Roundabout</v>
      </c>
      <c r="AA261">
        <v>40</v>
      </c>
      <c r="AB261">
        <v>-1</v>
      </c>
      <c r="AC261">
        <v>-1</v>
      </c>
      <c r="AD261">
        <v>4</v>
      </c>
      <c r="AE261">
        <v>6</v>
      </c>
      <c r="AF261">
        <v>0</v>
      </c>
      <c r="AG261">
        <v>-1</v>
      </c>
      <c r="AH261">
        <v>-1</v>
      </c>
      <c r="AI261">
        <v>0</v>
      </c>
      <c r="AJ261">
        <v>1</v>
      </c>
      <c r="AK261" t="str">
        <f>VLOOKUP(AJ261, Lookups!$B$23:$C$28, 2, FALSE)</f>
        <v>Daylight</v>
      </c>
      <c r="AL261">
        <v>1</v>
      </c>
      <c r="AM261" t="str">
        <f>VLOOKUP(AL261, Lookups!$B$30:$C$39, 2, FALSE)</f>
        <v>Fine / Clear</v>
      </c>
      <c r="AN261">
        <v>1</v>
      </c>
      <c r="AO261" t="str">
        <f>VLOOKUP(AN261, Lookups!$B$41:$C$49, 2, FALSE)</f>
        <v>Dry</v>
      </c>
      <c r="AP261">
        <v>-1</v>
      </c>
      <c r="AQ261">
        <v>-1</v>
      </c>
      <c r="AR261">
        <v>0</v>
      </c>
      <c r="AS261">
        <v>1</v>
      </c>
      <c r="AT261">
        <v>1</v>
      </c>
      <c r="AU261">
        <v>2</v>
      </c>
      <c r="AV261" t="s">
        <v>158</v>
      </c>
      <c r="AW261">
        <v>3</v>
      </c>
      <c r="AX261">
        <v>1</v>
      </c>
      <c r="AY261">
        <v>0</v>
      </c>
      <c r="AZ261">
        <v>1</v>
      </c>
    </row>
    <row r="262" spans="1:52" x14ac:dyDescent="0.35">
      <c r="A262">
        <v>2025221674631</v>
      </c>
      <c r="B262">
        <v>2025</v>
      </c>
      <c r="C262">
        <v>221674631</v>
      </c>
      <c r="D262">
        <v>383613</v>
      </c>
      <c r="E262">
        <v>276383</v>
      </c>
      <c r="F262">
        <v>-2.2421899999999999</v>
      </c>
      <c r="G262">
        <v>52.38523</v>
      </c>
      <c r="H262">
        <v>22</v>
      </c>
      <c r="I262">
        <v>3</v>
      </c>
      <c r="J262" t="str">
        <f>VLOOKUP(I262, Lookups!$B$1:$C$4, 2, FALSE)</f>
        <v>Slight</v>
      </c>
      <c r="K262">
        <v>1</v>
      </c>
      <c r="L262">
        <v>1</v>
      </c>
      <c r="M262" s="1">
        <v>45987</v>
      </c>
      <c r="N262">
        <v>4</v>
      </c>
      <c r="O262" t="str">
        <f>VLOOKUP(N262, Lookups!$B$6:$C$12, 2, FALSE)</f>
        <v>Wednesday</v>
      </c>
      <c r="P262" s="2">
        <v>0.61111111111111116</v>
      </c>
      <c r="Q262">
        <v>-1</v>
      </c>
      <c r="R262" t="s">
        <v>44</v>
      </c>
      <c r="S262" t="s">
        <v>45</v>
      </c>
      <c r="T262" t="s">
        <v>45</v>
      </c>
      <c r="U262">
        <v>6</v>
      </c>
      <c r="V262" t="str">
        <f>VLOOKUP(U262, Lookups!$B$51:$C$57, 2, FALSE)</f>
        <v>Unclassified</v>
      </c>
      <c r="W262">
        <v>0</v>
      </c>
      <c r="X262" t="s">
        <v>362</v>
      </c>
      <c r="Y262">
        <v>6</v>
      </c>
      <c r="Z262" t="str">
        <f>VLOOKUP(Y262, Lookups!$B$14:$C$21, 2, FALSE)</f>
        <v>Single carriageway</v>
      </c>
      <c r="AA262">
        <v>30</v>
      </c>
      <c r="AB262">
        <v>-1</v>
      </c>
      <c r="AC262">
        <v>13</v>
      </c>
      <c r="AD262">
        <v>4</v>
      </c>
      <c r="AE262">
        <v>3</v>
      </c>
      <c r="AF262">
        <v>448</v>
      </c>
      <c r="AG262">
        <v>-1</v>
      </c>
      <c r="AH262">
        <v>-1</v>
      </c>
      <c r="AI262">
        <v>17</v>
      </c>
      <c r="AJ262">
        <v>1</v>
      </c>
      <c r="AK262" t="str">
        <f>VLOOKUP(AJ262, Lookups!$B$23:$C$28, 2, FALSE)</f>
        <v>Daylight</v>
      </c>
      <c r="AL262">
        <v>1</v>
      </c>
      <c r="AM262" t="str">
        <f>VLOOKUP(AL262, Lookups!$B$30:$C$39, 2, FALSE)</f>
        <v>Fine / Clear</v>
      </c>
      <c r="AN262">
        <v>1</v>
      </c>
      <c r="AO262" t="str">
        <f>VLOOKUP(AN262, Lookups!$B$41:$C$49, 2, FALSE)</f>
        <v>Dry</v>
      </c>
      <c r="AP262">
        <v>-1</v>
      </c>
      <c r="AQ262">
        <v>-1</v>
      </c>
      <c r="AR262">
        <v>0</v>
      </c>
      <c r="AS262">
        <v>1</v>
      </c>
      <c r="AT262">
        <v>3</v>
      </c>
      <c r="AU262">
        <v>2</v>
      </c>
      <c r="AV262" t="s">
        <v>152</v>
      </c>
      <c r="AW262">
        <v>3</v>
      </c>
      <c r="AX262">
        <v>1</v>
      </c>
      <c r="AY262">
        <v>0</v>
      </c>
      <c r="AZ262">
        <v>1</v>
      </c>
    </row>
    <row r="263" spans="1:52" x14ac:dyDescent="0.35">
      <c r="A263">
        <v>2025221555504</v>
      </c>
      <c r="B263">
        <v>2025</v>
      </c>
      <c r="C263">
        <v>221555504</v>
      </c>
      <c r="D263">
        <v>384971</v>
      </c>
      <c r="E263">
        <v>254632</v>
      </c>
      <c r="F263">
        <v>-2.22126</v>
      </c>
      <c r="G263">
        <v>52.189720000000001</v>
      </c>
      <c r="H263">
        <v>22</v>
      </c>
      <c r="I263">
        <v>3</v>
      </c>
      <c r="J263" t="str">
        <f>VLOOKUP(I263, Lookups!$B$1:$C$4, 2, FALSE)</f>
        <v>Slight</v>
      </c>
      <c r="K263">
        <v>1</v>
      </c>
      <c r="L263">
        <v>1</v>
      </c>
      <c r="M263" s="1">
        <v>45706</v>
      </c>
      <c r="N263">
        <v>3</v>
      </c>
      <c r="O263" t="str">
        <f>VLOOKUP(N263, Lookups!$B$6:$C$12, 2, FALSE)</f>
        <v>Tuesday</v>
      </c>
      <c r="P263" s="2">
        <v>0.27777777777777779</v>
      </c>
      <c r="Q263">
        <v>-1</v>
      </c>
      <c r="R263" t="s">
        <v>60</v>
      </c>
      <c r="S263" t="s">
        <v>45</v>
      </c>
      <c r="T263" t="s">
        <v>45</v>
      </c>
      <c r="U263">
        <v>3</v>
      </c>
      <c r="V263" t="str">
        <f>VLOOKUP(U263, Lookups!$B$51:$C$57, 2, FALSE)</f>
        <v>A</v>
      </c>
      <c r="W263">
        <v>44</v>
      </c>
      <c r="X263" t="str">
        <f>V263&amp;W263</f>
        <v>A44</v>
      </c>
      <c r="Y263">
        <v>6</v>
      </c>
      <c r="Z263" t="str">
        <f>VLOOKUP(Y263, Lookups!$B$14:$C$21, 2, FALSE)</f>
        <v>Single carriageway</v>
      </c>
      <c r="AA263">
        <v>30</v>
      </c>
      <c r="AB263">
        <v>-1</v>
      </c>
      <c r="AC263">
        <v>0</v>
      </c>
      <c r="AD263">
        <v>-1</v>
      </c>
      <c r="AE263">
        <v>3</v>
      </c>
      <c r="AF263">
        <v>44</v>
      </c>
      <c r="AG263">
        <v>-1</v>
      </c>
      <c r="AH263">
        <v>-1</v>
      </c>
      <c r="AI263">
        <v>14</v>
      </c>
      <c r="AJ263">
        <v>1</v>
      </c>
      <c r="AK263" t="str">
        <f>VLOOKUP(AJ263, Lookups!$B$23:$C$28, 2, FALSE)</f>
        <v>Daylight</v>
      </c>
      <c r="AL263">
        <v>1</v>
      </c>
      <c r="AM263" t="str">
        <f>VLOOKUP(AL263, Lookups!$B$30:$C$39, 2, FALSE)</f>
        <v>Fine / Clear</v>
      </c>
      <c r="AN263">
        <v>1</v>
      </c>
      <c r="AO263" t="str">
        <f>VLOOKUP(AN263, Lookups!$B$41:$C$49, 2, FALSE)</f>
        <v>Dry</v>
      </c>
      <c r="AP263">
        <v>-1</v>
      </c>
      <c r="AQ263">
        <v>-1</v>
      </c>
      <c r="AR263">
        <v>0</v>
      </c>
      <c r="AS263">
        <v>1</v>
      </c>
      <c r="AT263">
        <v>1</v>
      </c>
      <c r="AU263">
        <v>2</v>
      </c>
      <c r="AV263" t="s">
        <v>122</v>
      </c>
      <c r="AW263">
        <v>3</v>
      </c>
      <c r="AX263">
        <v>1</v>
      </c>
      <c r="AY263">
        <v>0</v>
      </c>
      <c r="AZ263">
        <v>1</v>
      </c>
    </row>
    <row r="264" spans="1:52" x14ac:dyDescent="0.35">
      <c r="A264">
        <v>2025221621578</v>
      </c>
      <c r="B264">
        <v>2025</v>
      </c>
      <c r="C264">
        <v>221621578</v>
      </c>
      <c r="D264">
        <v>387769</v>
      </c>
      <c r="E264">
        <v>246657</v>
      </c>
      <c r="F264">
        <v>-2.18004</v>
      </c>
      <c r="G264">
        <v>52.118090000000002</v>
      </c>
      <c r="H264">
        <v>22</v>
      </c>
      <c r="I264">
        <v>3</v>
      </c>
      <c r="J264" t="str">
        <f>VLOOKUP(I264, Lookups!$B$1:$C$4, 2, FALSE)</f>
        <v>Slight</v>
      </c>
      <c r="K264">
        <v>1</v>
      </c>
      <c r="L264">
        <v>1</v>
      </c>
      <c r="M264" s="1">
        <v>45837</v>
      </c>
      <c r="N264">
        <v>1</v>
      </c>
      <c r="O264" t="str">
        <f>VLOOKUP(N264, Lookups!$B$6:$C$12, 2, FALSE)</f>
        <v>Sunday</v>
      </c>
      <c r="P264" s="2">
        <v>0.70763888888888893</v>
      </c>
      <c r="Q264">
        <v>-1</v>
      </c>
      <c r="R264" t="s">
        <v>54</v>
      </c>
      <c r="S264" t="s">
        <v>45</v>
      </c>
      <c r="T264" t="s">
        <v>45</v>
      </c>
      <c r="U264">
        <v>6</v>
      </c>
      <c r="V264" t="str">
        <f>VLOOKUP(U264, Lookups!$B$51:$C$57, 2, FALSE)</f>
        <v>Unclassified</v>
      </c>
      <c r="W264">
        <v>0</v>
      </c>
      <c r="X264" t="s">
        <v>362</v>
      </c>
      <c r="Y264">
        <v>6</v>
      </c>
      <c r="Z264" t="str">
        <f>VLOOKUP(Y264, Lookups!$B$14:$C$21, 2, FALSE)</f>
        <v>Single carriageway</v>
      </c>
      <c r="AA264">
        <v>60</v>
      </c>
      <c r="AB264">
        <v>-1</v>
      </c>
      <c r="AC264">
        <v>0</v>
      </c>
      <c r="AD264">
        <v>-1</v>
      </c>
      <c r="AE264">
        <v>0</v>
      </c>
      <c r="AF264">
        <v>-1</v>
      </c>
      <c r="AG264">
        <v>-1</v>
      </c>
      <c r="AH264">
        <v>-1</v>
      </c>
      <c r="AI264">
        <v>0</v>
      </c>
      <c r="AJ264">
        <v>1</v>
      </c>
      <c r="AK264" t="str">
        <f>VLOOKUP(AJ264, Lookups!$B$23:$C$28, 2, FALSE)</f>
        <v>Daylight</v>
      </c>
      <c r="AL264">
        <v>1</v>
      </c>
      <c r="AM264" t="str">
        <f>VLOOKUP(AL264, Lookups!$B$30:$C$39, 2, FALSE)</f>
        <v>Fine / Clear</v>
      </c>
      <c r="AN264">
        <v>1</v>
      </c>
      <c r="AO264" t="str">
        <f>VLOOKUP(AN264, Lookups!$B$41:$C$49, 2, FALSE)</f>
        <v>Dry</v>
      </c>
      <c r="AP264">
        <v>-1</v>
      </c>
      <c r="AQ264">
        <v>-1</v>
      </c>
      <c r="AR264">
        <v>0</v>
      </c>
      <c r="AS264">
        <v>2</v>
      </c>
      <c r="AT264">
        <v>1</v>
      </c>
      <c r="AU264">
        <v>2</v>
      </c>
      <c r="AV264" t="s">
        <v>210</v>
      </c>
      <c r="AW264">
        <v>3</v>
      </c>
      <c r="AX264">
        <v>1</v>
      </c>
      <c r="AY264">
        <v>0</v>
      </c>
      <c r="AZ264">
        <v>1</v>
      </c>
    </row>
    <row r="265" spans="1:52" x14ac:dyDescent="0.35">
      <c r="A265">
        <v>2025221665551</v>
      </c>
      <c r="B265">
        <v>2025</v>
      </c>
      <c r="C265">
        <v>221665551</v>
      </c>
      <c r="D265">
        <v>382138</v>
      </c>
      <c r="E265">
        <v>245294</v>
      </c>
      <c r="F265">
        <v>-2.2622100000000001</v>
      </c>
      <c r="G265">
        <v>52.10568</v>
      </c>
      <c r="H265">
        <v>22</v>
      </c>
      <c r="I265">
        <v>3</v>
      </c>
      <c r="J265" t="str">
        <f>VLOOKUP(I265, Lookups!$B$1:$C$4, 2, FALSE)</f>
        <v>Slight</v>
      </c>
      <c r="K265">
        <v>2</v>
      </c>
      <c r="L265">
        <v>1</v>
      </c>
      <c r="M265" s="1">
        <v>45969</v>
      </c>
      <c r="N265">
        <v>7</v>
      </c>
      <c r="O265" t="str">
        <f>VLOOKUP(N265, Lookups!$B$6:$C$12, 2, FALSE)</f>
        <v>Saturday</v>
      </c>
      <c r="P265" s="2">
        <v>0.76736111111111116</v>
      </c>
      <c r="Q265">
        <v>-1</v>
      </c>
      <c r="R265" t="s">
        <v>49</v>
      </c>
      <c r="S265" t="s">
        <v>45</v>
      </c>
      <c r="T265" t="s">
        <v>45</v>
      </c>
      <c r="U265">
        <v>4</v>
      </c>
      <c r="V265" t="str">
        <f>VLOOKUP(U265, Lookups!$B$51:$C$57, 2, FALSE)</f>
        <v>B</v>
      </c>
      <c r="W265">
        <v>4211</v>
      </c>
      <c r="X265" t="str">
        <f t="shared" ref="X265:X268" si="38">V265&amp;W265</f>
        <v>B4211</v>
      </c>
      <c r="Y265">
        <v>6</v>
      </c>
      <c r="Z265" t="str">
        <f>VLOOKUP(Y265, Lookups!$B$14:$C$21, 2, FALSE)</f>
        <v>Single carriageway</v>
      </c>
      <c r="AA265">
        <v>60</v>
      </c>
      <c r="AB265">
        <v>-1</v>
      </c>
      <c r="AC265">
        <v>18</v>
      </c>
      <c r="AD265">
        <v>4</v>
      </c>
      <c r="AE265">
        <v>6</v>
      </c>
      <c r="AF265">
        <v>0</v>
      </c>
      <c r="AG265">
        <v>-1</v>
      </c>
      <c r="AH265">
        <v>-1</v>
      </c>
      <c r="AI265">
        <v>0</v>
      </c>
      <c r="AJ265">
        <v>6</v>
      </c>
      <c r="AK265" t="str">
        <f>VLOOKUP(AJ265, Lookups!$B$23:$C$28, 2, FALSE)</f>
        <v>Darkness (Unlit)</v>
      </c>
      <c r="AL265">
        <v>1</v>
      </c>
      <c r="AM265" t="str">
        <f>VLOOKUP(AL265, Lookups!$B$30:$C$39, 2, FALSE)</f>
        <v>Fine / Clear</v>
      </c>
      <c r="AN265">
        <v>2</v>
      </c>
      <c r="AO265" t="str">
        <f>VLOOKUP(AN265, Lookups!$B$41:$C$49, 2, FALSE)</f>
        <v>Wet / damp</v>
      </c>
      <c r="AP265">
        <v>-1</v>
      </c>
      <c r="AQ265">
        <v>-1</v>
      </c>
      <c r="AR265">
        <v>0</v>
      </c>
      <c r="AS265">
        <v>2</v>
      </c>
      <c r="AT265">
        <v>1</v>
      </c>
      <c r="AU265">
        <v>2</v>
      </c>
      <c r="AV265" t="s">
        <v>211</v>
      </c>
      <c r="AW265">
        <v>3</v>
      </c>
      <c r="AX265">
        <v>1</v>
      </c>
      <c r="AY265">
        <v>0</v>
      </c>
      <c r="AZ265">
        <v>1</v>
      </c>
    </row>
    <row r="266" spans="1:52" x14ac:dyDescent="0.35">
      <c r="A266">
        <v>2025221689088</v>
      </c>
      <c r="B266">
        <v>2025</v>
      </c>
      <c r="C266">
        <v>221689088</v>
      </c>
      <c r="D266">
        <v>385198</v>
      </c>
      <c r="E266">
        <v>254434</v>
      </c>
      <c r="F266">
        <v>-2.21793</v>
      </c>
      <c r="G266">
        <v>52.187950000000001</v>
      </c>
      <c r="H266">
        <v>22</v>
      </c>
      <c r="I266">
        <v>2</v>
      </c>
      <c r="J266" t="str">
        <f>VLOOKUP(I266, Lookups!$B$1:$C$4, 2, FALSE)</f>
        <v>Serious</v>
      </c>
      <c r="K266">
        <v>2</v>
      </c>
      <c r="L266">
        <v>1</v>
      </c>
      <c r="M266" s="1">
        <v>46020</v>
      </c>
      <c r="N266">
        <v>2</v>
      </c>
      <c r="O266" t="str">
        <f>VLOOKUP(N266, Lookups!$B$6:$C$12, 2, FALSE)</f>
        <v>Monday</v>
      </c>
      <c r="P266" s="2">
        <v>0.7944444444444444</v>
      </c>
      <c r="Q266">
        <v>-1</v>
      </c>
      <c r="R266" t="s">
        <v>60</v>
      </c>
      <c r="S266" t="s">
        <v>45</v>
      </c>
      <c r="T266" t="s">
        <v>45</v>
      </c>
      <c r="U266">
        <v>3</v>
      </c>
      <c r="V266" t="str">
        <f>VLOOKUP(U266, Lookups!$B$51:$C$57, 2, FALSE)</f>
        <v>A</v>
      </c>
      <c r="W266">
        <v>44</v>
      </c>
      <c r="X266" t="str">
        <f t="shared" si="38"/>
        <v>A44</v>
      </c>
      <c r="Y266">
        <v>3</v>
      </c>
      <c r="Z266" t="str">
        <f>VLOOKUP(Y266, Lookups!$B$14:$C$21, 2, FALSE)</f>
        <v>Dual carriageway</v>
      </c>
      <c r="AA266">
        <v>30</v>
      </c>
      <c r="AB266">
        <v>-1</v>
      </c>
      <c r="AC266">
        <v>19</v>
      </c>
      <c r="AD266">
        <v>2</v>
      </c>
      <c r="AE266">
        <v>3</v>
      </c>
      <c r="AF266">
        <v>44</v>
      </c>
      <c r="AG266">
        <v>-1</v>
      </c>
      <c r="AH266">
        <v>-1</v>
      </c>
      <c r="AI266">
        <v>15</v>
      </c>
      <c r="AJ266">
        <v>4</v>
      </c>
      <c r="AK266" t="str">
        <f>VLOOKUP(AJ266, Lookups!$B$23:$C$28, 2, FALSE)</f>
        <v>Darkness (Lit)</v>
      </c>
      <c r="AL266">
        <v>1</v>
      </c>
      <c r="AM266" t="str">
        <f>VLOOKUP(AL266, Lookups!$B$30:$C$39, 2, FALSE)</f>
        <v>Fine / Clear</v>
      </c>
      <c r="AN266">
        <v>1</v>
      </c>
      <c r="AO266" t="str">
        <f>VLOOKUP(AN266, Lookups!$B$41:$C$49, 2, FALSE)</f>
        <v>Dry</v>
      </c>
      <c r="AP266">
        <v>-1</v>
      </c>
      <c r="AQ266">
        <v>-1</v>
      </c>
      <c r="AR266">
        <v>0</v>
      </c>
      <c r="AS266">
        <v>1</v>
      </c>
      <c r="AT266">
        <v>1</v>
      </c>
      <c r="AU266">
        <v>2</v>
      </c>
      <c r="AV266" t="s">
        <v>122</v>
      </c>
      <c r="AW266">
        <v>7</v>
      </c>
      <c r="AX266">
        <v>1</v>
      </c>
      <c r="AY266">
        <v>1</v>
      </c>
      <c r="AZ266">
        <v>0</v>
      </c>
    </row>
    <row r="267" spans="1:52" x14ac:dyDescent="0.35">
      <c r="A267">
        <v>2025221562836</v>
      </c>
      <c r="B267">
        <v>2025</v>
      </c>
      <c r="C267">
        <v>221562836</v>
      </c>
      <c r="D267">
        <v>383392</v>
      </c>
      <c r="E267">
        <v>274782</v>
      </c>
      <c r="F267">
        <v>-2.2453599999999998</v>
      </c>
      <c r="G267">
        <v>52.370829999999998</v>
      </c>
      <c r="H267">
        <v>22</v>
      </c>
      <c r="I267">
        <v>3</v>
      </c>
      <c r="J267" t="str">
        <f>VLOOKUP(I267, Lookups!$B$1:$C$4, 2, FALSE)</f>
        <v>Slight</v>
      </c>
      <c r="K267">
        <v>2</v>
      </c>
      <c r="L267">
        <v>4</v>
      </c>
      <c r="M267" s="1">
        <v>45723</v>
      </c>
      <c r="N267">
        <v>6</v>
      </c>
      <c r="O267" t="str">
        <f>VLOOKUP(N267, Lookups!$B$6:$C$12, 2, FALSE)</f>
        <v>Friday</v>
      </c>
      <c r="P267" s="2">
        <v>0.78333333333333333</v>
      </c>
      <c r="Q267">
        <v>-1</v>
      </c>
      <c r="R267" t="s">
        <v>44</v>
      </c>
      <c r="S267" t="s">
        <v>45</v>
      </c>
      <c r="T267" t="s">
        <v>45</v>
      </c>
      <c r="U267">
        <v>3</v>
      </c>
      <c r="V267" t="str">
        <f>VLOOKUP(U267, Lookups!$B$51:$C$57, 2, FALSE)</f>
        <v>A</v>
      </c>
      <c r="W267">
        <v>449</v>
      </c>
      <c r="X267" t="str">
        <f t="shared" si="38"/>
        <v>A449</v>
      </c>
      <c r="Y267">
        <v>1</v>
      </c>
      <c r="Z267" t="str">
        <f>VLOOKUP(Y267, Lookups!$B$14:$C$21, 2, FALSE)</f>
        <v>Roundabout</v>
      </c>
      <c r="AA267">
        <v>40</v>
      </c>
      <c r="AB267">
        <v>-1</v>
      </c>
      <c r="AC267">
        <v>-1</v>
      </c>
      <c r="AD267">
        <v>2</v>
      </c>
      <c r="AE267">
        <v>3</v>
      </c>
      <c r="AF267">
        <v>449</v>
      </c>
      <c r="AG267">
        <v>-1</v>
      </c>
      <c r="AH267">
        <v>-1</v>
      </c>
      <c r="AI267">
        <v>0</v>
      </c>
      <c r="AJ267">
        <v>4</v>
      </c>
      <c r="AK267" t="str">
        <f>VLOOKUP(AJ267, Lookups!$B$23:$C$28, 2, FALSE)</f>
        <v>Darkness (Lit)</v>
      </c>
      <c r="AL267">
        <v>1</v>
      </c>
      <c r="AM267" t="str">
        <f>VLOOKUP(AL267, Lookups!$B$30:$C$39, 2, FALSE)</f>
        <v>Fine / Clear</v>
      </c>
      <c r="AN267">
        <v>1</v>
      </c>
      <c r="AO267" t="str">
        <f>VLOOKUP(AN267, Lookups!$B$41:$C$49, 2, FALSE)</f>
        <v>Dry</v>
      </c>
      <c r="AP267">
        <v>-1</v>
      </c>
      <c r="AQ267">
        <v>-1</v>
      </c>
      <c r="AR267">
        <v>0</v>
      </c>
      <c r="AS267">
        <v>1</v>
      </c>
      <c r="AT267">
        <v>3</v>
      </c>
      <c r="AU267">
        <v>2</v>
      </c>
      <c r="AV267" t="s">
        <v>96</v>
      </c>
      <c r="AW267">
        <v>3</v>
      </c>
      <c r="AX267">
        <v>1</v>
      </c>
      <c r="AY267">
        <v>0</v>
      </c>
      <c r="AZ267">
        <v>1</v>
      </c>
    </row>
    <row r="268" spans="1:52" x14ac:dyDescent="0.35">
      <c r="A268">
        <v>2025221563882</v>
      </c>
      <c r="B268">
        <v>2025</v>
      </c>
      <c r="C268">
        <v>221563882</v>
      </c>
      <c r="D268">
        <v>388324</v>
      </c>
      <c r="E268">
        <v>278844</v>
      </c>
      <c r="F268">
        <v>-2.17306</v>
      </c>
      <c r="G268">
        <v>52.407470000000004</v>
      </c>
      <c r="H268">
        <v>22</v>
      </c>
      <c r="I268">
        <v>1</v>
      </c>
      <c r="J268" t="str">
        <f>VLOOKUP(I268, Lookups!$B$1:$C$4, 2, FALSE)</f>
        <v>Fatal</v>
      </c>
      <c r="K268">
        <v>2</v>
      </c>
      <c r="L268">
        <v>3</v>
      </c>
      <c r="M268" s="1">
        <v>45727</v>
      </c>
      <c r="N268">
        <v>3</v>
      </c>
      <c r="O268" t="str">
        <f>VLOOKUP(N268, Lookups!$B$6:$C$12, 2, FALSE)</f>
        <v>Tuesday</v>
      </c>
      <c r="P268" s="2">
        <v>0.87708333333333333</v>
      </c>
      <c r="Q268">
        <v>-1</v>
      </c>
      <c r="R268" t="s">
        <v>44</v>
      </c>
      <c r="S268" t="s">
        <v>45</v>
      </c>
      <c r="T268" t="s">
        <v>45</v>
      </c>
      <c r="U268">
        <v>3</v>
      </c>
      <c r="V268" t="str">
        <f>VLOOKUP(U268, Lookups!$B$51:$C$57, 2, FALSE)</f>
        <v>A</v>
      </c>
      <c r="W268">
        <v>456</v>
      </c>
      <c r="X268" t="str">
        <f t="shared" si="38"/>
        <v>A456</v>
      </c>
      <c r="Y268">
        <v>6</v>
      </c>
      <c r="Z268" t="str">
        <f>VLOOKUP(Y268, Lookups!$B$14:$C$21, 2, FALSE)</f>
        <v>Single carriageway</v>
      </c>
      <c r="AA268">
        <v>60</v>
      </c>
      <c r="AB268">
        <v>-1</v>
      </c>
      <c r="AC268">
        <v>0</v>
      </c>
      <c r="AD268">
        <v>-1</v>
      </c>
      <c r="AE268">
        <v>6</v>
      </c>
      <c r="AF268">
        <v>0</v>
      </c>
      <c r="AG268">
        <v>-1</v>
      </c>
      <c r="AH268">
        <v>-1</v>
      </c>
      <c r="AI268">
        <v>0</v>
      </c>
      <c r="AJ268">
        <v>6</v>
      </c>
      <c r="AK268" t="str">
        <f>VLOOKUP(AJ268, Lookups!$B$23:$C$28, 2, FALSE)</f>
        <v>Darkness (Unlit)</v>
      </c>
      <c r="AL268">
        <v>1</v>
      </c>
      <c r="AM268" t="str">
        <f>VLOOKUP(AL268, Lookups!$B$30:$C$39, 2, FALSE)</f>
        <v>Fine / Clear</v>
      </c>
      <c r="AN268">
        <v>1</v>
      </c>
      <c r="AO268" t="str">
        <f>VLOOKUP(AN268, Lookups!$B$41:$C$49, 2, FALSE)</f>
        <v>Dry</v>
      </c>
      <c r="AP268">
        <v>-1</v>
      </c>
      <c r="AQ268">
        <v>-1</v>
      </c>
      <c r="AR268">
        <v>0</v>
      </c>
      <c r="AS268">
        <v>2</v>
      </c>
      <c r="AT268">
        <v>1</v>
      </c>
      <c r="AU268">
        <v>2</v>
      </c>
      <c r="AV268" t="s">
        <v>212</v>
      </c>
      <c r="AW268">
        <v>1</v>
      </c>
      <c r="AX268">
        <v>1</v>
      </c>
      <c r="AY268">
        <v>0</v>
      </c>
      <c r="AZ268">
        <v>0</v>
      </c>
    </row>
    <row r="269" spans="1:52" x14ac:dyDescent="0.35">
      <c r="A269">
        <v>2025221611861</v>
      </c>
      <c r="B269">
        <v>2025</v>
      </c>
      <c r="C269">
        <v>221611861</v>
      </c>
      <c r="D269">
        <v>411174</v>
      </c>
      <c r="E269">
        <v>246671</v>
      </c>
      <c r="F269">
        <v>-1.83822</v>
      </c>
      <c r="G269">
        <v>52.118250000000003</v>
      </c>
      <c r="H269">
        <v>22</v>
      </c>
      <c r="I269">
        <v>3</v>
      </c>
      <c r="J269" t="str">
        <f>VLOOKUP(I269, Lookups!$B$1:$C$4, 2, FALSE)</f>
        <v>Slight</v>
      </c>
      <c r="K269">
        <v>2</v>
      </c>
      <c r="L269">
        <v>1</v>
      </c>
      <c r="M269" s="1">
        <v>45842</v>
      </c>
      <c r="N269">
        <v>6</v>
      </c>
      <c r="O269" t="str">
        <f>VLOOKUP(N269, Lookups!$B$6:$C$12, 2, FALSE)</f>
        <v>Friday</v>
      </c>
      <c r="P269" s="2">
        <v>0.34652777777777777</v>
      </c>
      <c r="Q269">
        <v>-1</v>
      </c>
      <c r="R269" t="s">
        <v>54</v>
      </c>
      <c r="S269" t="s">
        <v>45</v>
      </c>
      <c r="T269" t="s">
        <v>45</v>
      </c>
      <c r="U269">
        <v>6</v>
      </c>
      <c r="V269" t="str">
        <f>VLOOKUP(U269, Lookups!$B$51:$C$57, 2, FALSE)</f>
        <v>Unclassified</v>
      </c>
      <c r="W269">
        <v>0</v>
      </c>
      <c r="X269" t="s">
        <v>362</v>
      </c>
      <c r="Y269">
        <v>6</v>
      </c>
      <c r="Z269" t="str">
        <f>VLOOKUP(Y269, Lookups!$B$14:$C$21, 2, FALSE)</f>
        <v>Single carriageway</v>
      </c>
      <c r="AA269">
        <v>60</v>
      </c>
      <c r="AB269">
        <v>-1</v>
      </c>
      <c r="AC269">
        <v>16</v>
      </c>
      <c r="AD269">
        <v>4</v>
      </c>
      <c r="AE269">
        <v>6</v>
      </c>
      <c r="AF269">
        <v>0</v>
      </c>
      <c r="AG269">
        <v>-1</v>
      </c>
      <c r="AH269">
        <v>-1</v>
      </c>
      <c r="AI269">
        <v>0</v>
      </c>
      <c r="AJ269">
        <v>1</v>
      </c>
      <c r="AK269" t="str">
        <f>VLOOKUP(AJ269, Lookups!$B$23:$C$28, 2, FALSE)</f>
        <v>Daylight</v>
      </c>
      <c r="AL269">
        <v>1</v>
      </c>
      <c r="AM269" t="str">
        <f>VLOOKUP(AL269, Lookups!$B$30:$C$39, 2, FALSE)</f>
        <v>Fine / Clear</v>
      </c>
      <c r="AN269">
        <v>1</v>
      </c>
      <c r="AO269" t="str">
        <f>VLOOKUP(AN269, Lookups!$B$41:$C$49, 2, FALSE)</f>
        <v>Dry</v>
      </c>
      <c r="AP269">
        <v>-1</v>
      </c>
      <c r="AQ269">
        <v>-1</v>
      </c>
      <c r="AR269">
        <v>0</v>
      </c>
      <c r="AS269">
        <v>2</v>
      </c>
      <c r="AT269">
        <v>1</v>
      </c>
      <c r="AU269">
        <v>2</v>
      </c>
      <c r="AV269" t="s">
        <v>171</v>
      </c>
      <c r="AW269">
        <v>3</v>
      </c>
      <c r="AX269">
        <v>1</v>
      </c>
      <c r="AY269">
        <v>0</v>
      </c>
      <c r="AZ269">
        <v>1</v>
      </c>
    </row>
    <row r="270" spans="1:52" x14ac:dyDescent="0.35">
      <c r="A270">
        <v>2025221567316</v>
      </c>
      <c r="B270">
        <v>2025</v>
      </c>
      <c r="C270">
        <v>221567316</v>
      </c>
      <c r="D270">
        <v>384199</v>
      </c>
      <c r="E270">
        <v>276466</v>
      </c>
      <c r="F270">
        <v>-2.23359</v>
      </c>
      <c r="G270">
        <v>52.38599</v>
      </c>
      <c r="H270">
        <v>22</v>
      </c>
      <c r="I270">
        <v>3</v>
      </c>
      <c r="J270" t="str">
        <f>VLOOKUP(I270, Lookups!$B$1:$C$4, 2, FALSE)</f>
        <v>Slight</v>
      </c>
      <c r="K270">
        <v>2</v>
      </c>
      <c r="L270">
        <v>1</v>
      </c>
      <c r="M270" s="1">
        <v>45736</v>
      </c>
      <c r="N270">
        <v>5</v>
      </c>
      <c r="O270" t="str">
        <f>VLOOKUP(N270, Lookups!$B$6:$C$12, 2, FALSE)</f>
        <v>Thursday</v>
      </c>
      <c r="P270" s="2">
        <v>0.65972222222222221</v>
      </c>
      <c r="Q270">
        <v>-1</v>
      </c>
      <c r="R270" t="s">
        <v>44</v>
      </c>
      <c r="S270" t="s">
        <v>45</v>
      </c>
      <c r="T270" t="s">
        <v>45</v>
      </c>
      <c r="U270">
        <v>6</v>
      </c>
      <c r="V270" t="str">
        <f>VLOOKUP(U270, Lookups!$B$51:$C$57, 2, FALSE)</f>
        <v>Unclassified</v>
      </c>
      <c r="W270">
        <v>0</v>
      </c>
      <c r="X270" t="s">
        <v>362</v>
      </c>
      <c r="Y270">
        <v>6</v>
      </c>
      <c r="Z270" t="str">
        <f>VLOOKUP(Y270, Lookups!$B$14:$C$21, 2, FALSE)</f>
        <v>Single carriageway</v>
      </c>
      <c r="AA270">
        <v>30</v>
      </c>
      <c r="AB270">
        <v>-1</v>
      </c>
      <c r="AC270">
        <v>13</v>
      </c>
      <c r="AD270">
        <v>2</v>
      </c>
      <c r="AE270">
        <v>3</v>
      </c>
      <c r="AF270">
        <v>449</v>
      </c>
      <c r="AG270">
        <v>-1</v>
      </c>
      <c r="AH270">
        <v>-1</v>
      </c>
      <c r="AI270">
        <v>15</v>
      </c>
      <c r="AJ270">
        <v>1</v>
      </c>
      <c r="AK270" t="str">
        <f>VLOOKUP(AJ270, Lookups!$B$23:$C$28, 2, FALSE)</f>
        <v>Daylight</v>
      </c>
      <c r="AL270">
        <v>1</v>
      </c>
      <c r="AM270" t="str">
        <f>VLOOKUP(AL270, Lookups!$B$30:$C$39, 2, FALSE)</f>
        <v>Fine / Clear</v>
      </c>
      <c r="AN270">
        <v>1</v>
      </c>
      <c r="AO270" t="str">
        <f>VLOOKUP(AN270, Lookups!$B$41:$C$49, 2, FALSE)</f>
        <v>Dry</v>
      </c>
      <c r="AP270">
        <v>-1</v>
      </c>
      <c r="AQ270">
        <v>-1</v>
      </c>
      <c r="AR270">
        <v>0</v>
      </c>
      <c r="AS270">
        <v>1</v>
      </c>
      <c r="AT270">
        <v>3</v>
      </c>
      <c r="AU270">
        <v>2</v>
      </c>
      <c r="AV270" t="s">
        <v>213</v>
      </c>
      <c r="AW270">
        <v>3</v>
      </c>
      <c r="AX270">
        <v>1</v>
      </c>
      <c r="AY270">
        <v>0</v>
      </c>
      <c r="AZ270">
        <v>1</v>
      </c>
    </row>
    <row r="271" spans="1:52" x14ac:dyDescent="0.35">
      <c r="A271">
        <v>2025221573412</v>
      </c>
      <c r="B271">
        <v>2025</v>
      </c>
      <c r="C271">
        <v>221573412</v>
      </c>
      <c r="D271">
        <v>390302</v>
      </c>
      <c r="E271">
        <v>263404</v>
      </c>
      <c r="F271">
        <v>-2.1435399999999998</v>
      </c>
      <c r="G271">
        <v>52.268709999999999</v>
      </c>
      <c r="H271">
        <v>22</v>
      </c>
      <c r="I271">
        <v>2</v>
      </c>
      <c r="J271" t="str">
        <f>VLOOKUP(I271, Lookups!$B$1:$C$4, 2, FALSE)</f>
        <v>Serious</v>
      </c>
      <c r="K271">
        <v>1</v>
      </c>
      <c r="L271">
        <v>1</v>
      </c>
      <c r="M271" s="1">
        <v>45751</v>
      </c>
      <c r="N271">
        <v>6</v>
      </c>
      <c r="O271" t="str">
        <f>VLOOKUP(N271, Lookups!$B$6:$C$12, 2, FALSE)</f>
        <v>Friday</v>
      </c>
      <c r="P271" s="2">
        <v>0.14374999999999999</v>
      </c>
      <c r="Q271">
        <v>-1</v>
      </c>
      <c r="R271" t="s">
        <v>54</v>
      </c>
      <c r="S271" t="s">
        <v>45</v>
      </c>
      <c r="T271" t="s">
        <v>45</v>
      </c>
      <c r="U271">
        <v>4</v>
      </c>
      <c r="V271" t="str">
        <f>VLOOKUP(U271, Lookups!$B$51:$C$57, 2, FALSE)</f>
        <v>B</v>
      </c>
      <c r="W271">
        <v>4090</v>
      </c>
      <c r="X271" t="str">
        <f>V271&amp;W271</f>
        <v>B4090</v>
      </c>
      <c r="Y271">
        <v>6</v>
      </c>
      <c r="Z271" t="str">
        <f>VLOOKUP(Y271, Lookups!$B$14:$C$21, 2, FALSE)</f>
        <v>Single carriageway</v>
      </c>
      <c r="AA271">
        <v>30</v>
      </c>
      <c r="AB271">
        <v>-1</v>
      </c>
      <c r="AC271">
        <v>13</v>
      </c>
      <c r="AD271">
        <v>4</v>
      </c>
      <c r="AE271">
        <v>6</v>
      </c>
      <c r="AF271">
        <v>0</v>
      </c>
      <c r="AG271">
        <v>-1</v>
      </c>
      <c r="AH271">
        <v>-1</v>
      </c>
      <c r="AI271">
        <v>0</v>
      </c>
      <c r="AJ271">
        <v>4</v>
      </c>
      <c r="AK271" t="str">
        <f>VLOOKUP(AJ271, Lookups!$B$23:$C$28, 2, FALSE)</f>
        <v>Darkness (Lit)</v>
      </c>
      <c r="AL271">
        <v>1</v>
      </c>
      <c r="AM271" t="str">
        <f>VLOOKUP(AL271, Lookups!$B$30:$C$39, 2, FALSE)</f>
        <v>Fine / Clear</v>
      </c>
      <c r="AN271">
        <v>1</v>
      </c>
      <c r="AO271" t="str">
        <f>VLOOKUP(AN271, Lookups!$B$41:$C$49, 2, FALSE)</f>
        <v>Dry</v>
      </c>
      <c r="AP271">
        <v>-1</v>
      </c>
      <c r="AQ271">
        <v>-1</v>
      </c>
      <c r="AR271">
        <v>0</v>
      </c>
      <c r="AS271">
        <v>1</v>
      </c>
      <c r="AT271">
        <v>1</v>
      </c>
      <c r="AU271">
        <v>2</v>
      </c>
      <c r="AV271" t="s">
        <v>177</v>
      </c>
      <c r="AW271">
        <v>7</v>
      </c>
      <c r="AX271">
        <v>1</v>
      </c>
      <c r="AY271">
        <v>1</v>
      </c>
      <c r="AZ271">
        <v>0</v>
      </c>
    </row>
    <row r="272" spans="1:52" x14ac:dyDescent="0.35">
      <c r="A272">
        <v>2025221589028</v>
      </c>
      <c r="B272">
        <v>2025</v>
      </c>
      <c r="C272">
        <v>221589028</v>
      </c>
      <c r="D272">
        <v>395460</v>
      </c>
      <c r="E272">
        <v>280051</v>
      </c>
      <c r="F272">
        <v>-2.0681799999999999</v>
      </c>
      <c r="G272">
        <v>52.418430000000001</v>
      </c>
      <c r="H272">
        <v>22</v>
      </c>
      <c r="I272">
        <v>3</v>
      </c>
      <c r="J272" t="str">
        <f>VLOOKUP(I272, Lookups!$B$1:$C$4, 2, FALSE)</f>
        <v>Slight</v>
      </c>
      <c r="K272">
        <v>1</v>
      </c>
      <c r="L272">
        <v>1</v>
      </c>
      <c r="M272" s="1">
        <v>45789</v>
      </c>
      <c r="N272">
        <v>2</v>
      </c>
      <c r="O272" t="str">
        <f>VLOOKUP(N272, Lookups!$B$6:$C$12, 2, FALSE)</f>
        <v>Monday</v>
      </c>
      <c r="P272" s="2">
        <v>7.1527777777777773E-2</v>
      </c>
      <c r="Q272">
        <v>-1</v>
      </c>
      <c r="R272" t="s">
        <v>47</v>
      </c>
      <c r="S272" t="s">
        <v>45</v>
      </c>
      <c r="T272" t="s">
        <v>45</v>
      </c>
      <c r="U272">
        <v>6</v>
      </c>
      <c r="V272" t="str">
        <f>VLOOKUP(U272, Lookups!$B$51:$C$57, 2, FALSE)</f>
        <v>Unclassified</v>
      </c>
      <c r="W272">
        <v>0</v>
      </c>
      <c r="X272" t="s">
        <v>362</v>
      </c>
      <c r="Y272">
        <v>6</v>
      </c>
      <c r="Z272" t="str">
        <f>VLOOKUP(Y272, Lookups!$B$14:$C$21, 2, FALSE)</f>
        <v>Single carriageway</v>
      </c>
      <c r="AA272">
        <v>60</v>
      </c>
      <c r="AB272">
        <v>-1</v>
      </c>
      <c r="AC272">
        <v>0</v>
      </c>
      <c r="AD272">
        <v>-1</v>
      </c>
      <c r="AE272">
        <v>0</v>
      </c>
      <c r="AF272">
        <v>-1</v>
      </c>
      <c r="AG272">
        <v>-1</v>
      </c>
      <c r="AH272">
        <v>-1</v>
      </c>
      <c r="AI272">
        <v>0</v>
      </c>
      <c r="AJ272">
        <v>6</v>
      </c>
      <c r="AK272" t="str">
        <f>VLOOKUP(AJ272, Lookups!$B$23:$C$28, 2, FALSE)</f>
        <v>Darkness (Unlit)</v>
      </c>
      <c r="AL272">
        <v>1</v>
      </c>
      <c r="AM272" t="str">
        <f>VLOOKUP(AL272, Lookups!$B$30:$C$39, 2, FALSE)</f>
        <v>Fine / Clear</v>
      </c>
      <c r="AN272">
        <v>1</v>
      </c>
      <c r="AO272" t="str">
        <f>VLOOKUP(AN272, Lookups!$B$41:$C$49, 2, FALSE)</f>
        <v>Dry</v>
      </c>
      <c r="AP272">
        <v>-1</v>
      </c>
      <c r="AQ272">
        <v>-1</v>
      </c>
      <c r="AR272">
        <v>0</v>
      </c>
      <c r="AS272">
        <v>2</v>
      </c>
      <c r="AT272">
        <v>1</v>
      </c>
      <c r="AU272">
        <v>2</v>
      </c>
      <c r="AV272" t="s">
        <v>149</v>
      </c>
      <c r="AW272">
        <v>3</v>
      </c>
      <c r="AX272">
        <v>1</v>
      </c>
      <c r="AY272">
        <v>0</v>
      </c>
      <c r="AZ272">
        <v>1</v>
      </c>
    </row>
    <row r="273" spans="1:52" x14ac:dyDescent="0.35">
      <c r="A273">
        <v>2025221620634</v>
      </c>
      <c r="B273">
        <v>2025</v>
      </c>
      <c r="C273">
        <v>221620634</v>
      </c>
      <c r="D273">
        <v>386999</v>
      </c>
      <c r="E273">
        <v>253778</v>
      </c>
      <c r="F273">
        <v>-2.19156</v>
      </c>
      <c r="G273">
        <v>52.182099999999998</v>
      </c>
      <c r="H273">
        <v>22</v>
      </c>
      <c r="I273">
        <v>2</v>
      </c>
      <c r="J273" t="str">
        <f>VLOOKUP(I273, Lookups!$B$1:$C$4, 2, FALSE)</f>
        <v>Serious</v>
      </c>
      <c r="K273">
        <v>2</v>
      </c>
      <c r="L273">
        <v>1</v>
      </c>
      <c r="M273" s="1">
        <v>45849</v>
      </c>
      <c r="N273">
        <v>6</v>
      </c>
      <c r="O273" t="str">
        <f>VLOOKUP(N273, Lookups!$B$6:$C$12, 2, FALSE)</f>
        <v>Friday</v>
      </c>
      <c r="P273" s="2">
        <v>0.74652777777777779</v>
      </c>
      <c r="Q273">
        <v>-1</v>
      </c>
      <c r="R273" t="s">
        <v>60</v>
      </c>
      <c r="S273" t="s">
        <v>45</v>
      </c>
      <c r="T273" t="s">
        <v>45</v>
      </c>
      <c r="U273">
        <v>6</v>
      </c>
      <c r="V273" t="str">
        <f>VLOOKUP(U273, Lookups!$B$51:$C$57, 2, FALSE)</f>
        <v>Unclassified</v>
      </c>
      <c r="W273">
        <v>0</v>
      </c>
      <c r="X273" t="s">
        <v>362</v>
      </c>
      <c r="Y273">
        <v>6</v>
      </c>
      <c r="Z273" t="str">
        <f>VLOOKUP(Y273, Lookups!$B$14:$C$21, 2, FALSE)</f>
        <v>Single carriageway</v>
      </c>
      <c r="AA273">
        <v>30</v>
      </c>
      <c r="AB273">
        <v>-1</v>
      </c>
      <c r="AC273">
        <v>0</v>
      </c>
      <c r="AD273">
        <v>-1</v>
      </c>
      <c r="AE273">
        <v>6</v>
      </c>
      <c r="AF273">
        <v>0</v>
      </c>
      <c r="AG273">
        <v>-1</v>
      </c>
      <c r="AH273">
        <v>-1</v>
      </c>
      <c r="AI273">
        <v>14</v>
      </c>
      <c r="AJ273">
        <v>1</v>
      </c>
      <c r="AK273" t="str">
        <f>VLOOKUP(AJ273, Lookups!$B$23:$C$28, 2, FALSE)</f>
        <v>Daylight</v>
      </c>
      <c r="AL273">
        <v>1</v>
      </c>
      <c r="AM273" t="str">
        <f>VLOOKUP(AL273, Lookups!$B$30:$C$39, 2, FALSE)</f>
        <v>Fine / Clear</v>
      </c>
      <c r="AN273">
        <v>1</v>
      </c>
      <c r="AO273" t="str">
        <f>VLOOKUP(AN273, Lookups!$B$41:$C$49, 2, FALSE)</f>
        <v>Dry</v>
      </c>
      <c r="AP273">
        <v>-1</v>
      </c>
      <c r="AQ273">
        <v>-1</v>
      </c>
      <c r="AR273">
        <v>0</v>
      </c>
      <c r="AS273">
        <v>1</v>
      </c>
      <c r="AT273">
        <v>1</v>
      </c>
      <c r="AU273">
        <v>2</v>
      </c>
      <c r="AV273" t="s">
        <v>214</v>
      </c>
      <c r="AW273">
        <v>7</v>
      </c>
      <c r="AX273">
        <v>1</v>
      </c>
      <c r="AY273">
        <v>1</v>
      </c>
      <c r="AZ273">
        <v>0</v>
      </c>
    </row>
    <row r="274" spans="1:52" x14ac:dyDescent="0.35">
      <c r="A274">
        <v>2025221642661</v>
      </c>
      <c r="B274">
        <v>2025</v>
      </c>
      <c r="C274">
        <v>221642661</v>
      </c>
      <c r="D274">
        <v>398924</v>
      </c>
      <c r="E274">
        <v>277309</v>
      </c>
      <c r="F274">
        <v>-2.0172400000000001</v>
      </c>
      <c r="G274">
        <v>52.393799999999999</v>
      </c>
      <c r="H274">
        <v>22</v>
      </c>
      <c r="I274">
        <v>2</v>
      </c>
      <c r="J274" t="str">
        <f>VLOOKUP(I274, Lookups!$B$1:$C$4, 2, FALSE)</f>
        <v>Serious</v>
      </c>
      <c r="K274">
        <v>2</v>
      </c>
      <c r="L274">
        <v>1</v>
      </c>
      <c r="M274" s="1">
        <v>45904</v>
      </c>
      <c r="N274">
        <v>5</v>
      </c>
      <c r="O274" t="str">
        <f>VLOOKUP(N274, Lookups!$B$6:$C$12, 2, FALSE)</f>
        <v>Thursday</v>
      </c>
      <c r="P274" s="2">
        <v>0.82291666666666663</v>
      </c>
      <c r="Q274">
        <v>-1</v>
      </c>
      <c r="R274" t="s">
        <v>47</v>
      </c>
      <c r="S274" t="s">
        <v>45</v>
      </c>
      <c r="T274" t="s">
        <v>45</v>
      </c>
      <c r="U274">
        <v>6</v>
      </c>
      <c r="V274" t="str">
        <f>VLOOKUP(U274, Lookups!$B$51:$C$57, 2, FALSE)</f>
        <v>Unclassified</v>
      </c>
      <c r="W274">
        <v>0</v>
      </c>
      <c r="X274" t="s">
        <v>362</v>
      </c>
      <c r="Y274">
        <v>6</v>
      </c>
      <c r="Z274" t="str">
        <f>VLOOKUP(Y274, Lookups!$B$14:$C$21, 2, FALSE)</f>
        <v>Single carriageway</v>
      </c>
      <c r="AA274">
        <v>30</v>
      </c>
      <c r="AB274">
        <v>-1</v>
      </c>
      <c r="AC274">
        <v>19</v>
      </c>
      <c r="AD274">
        <v>4</v>
      </c>
      <c r="AE274">
        <v>6</v>
      </c>
      <c r="AF274">
        <v>0</v>
      </c>
      <c r="AG274">
        <v>-1</v>
      </c>
      <c r="AH274">
        <v>-1</v>
      </c>
      <c r="AI274">
        <v>14</v>
      </c>
      <c r="AJ274">
        <v>1</v>
      </c>
      <c r="AK274" t="str">
        <f>VLOOKUP(AJ274, Lookups!$B$23:$C$28, 2, FALSE)</f>
        <v>Daylight</v>
      </c>
      <c r="AL274">
        <v>1</v>
      </c>
      <c r="AM274" t="str">
        <f>VLOOKUP(AL274, Lookups!$B$30:$C$39, 2, FALSE)</f>
        <v>Fine / Clear</v>
      </c>
      <c r="AN274">
        <v>1</v>
      </c>
      <c r="AO274" t="str">
        <f>VLOOKUP(AN274, Lookups!$B$41:$C$49, 2, FALSE)</f>
        <v>Dry</v>
      </c>
      <c r="AP274">
        <v>-1</v>
      </c>
      <c r="AQ274">
        <v>-1</v>
      </c>
      <c r="AR274">
        <v>0</v>
      </c>
      <c r="AS274">
        <v>1</v>
      </c>
      <c r="AT274">
        <v>1</v>
      </c>
      <c r="AU274">
        <v>2</v>
      </c>
      <c r="AV274" t="s">
        <v>126</v>
      </c>
      <c r="AW274">
        <v>7</v>
      </c>
      <c r="AX274">
        <v>1</v>
      </c>
      <c r="AY274">
        <v>1</v>
      </c>
      <c r="AZ274">
        <v>0</v>
      </c>
    </row>
    <row r="275" spans="1:52" x14ac:dyDescent="0.35">
      <c r="A275">
        <v>2025221680047</v>
      </c>
      <c r="B275">
        <v>2025</v>
      </c>
      <c r="C275">
        <v>221680047</v>
      </c>
      <c r="D275">
        <v>370610</v>
      </c>
      <c r="E275">
        <v>274319</v>
      </c>
      <c r="F275">
        <v>-2.4330500000000002</v>
      </c>
      <c r="G275">
        <v>52.366129999999998</v>
      </c>
      <c r="H275">
        <v>22</v>
      </c>
      <c r="I275">
        <v>3</v>
      </c>
      <c r="J275" t="str">
        <f>VLOOKUP(I275, Lookups!$B$1:$C$4, 2, FALSE)</f>
        <v>Slight</v>
      </c>
      <c r="K275">
        <v>1</v>
      </c>
      <c r="L275">
        <v>1</v>
      </c>
      <c r="M275" s="1">
        <v>45996</v>
      </c>
      <c r="N275">
        <v>6</v>
      </c>
      <c r="O275" t="str">
        <f>VLOOKUP(N275, Lookups!$B$6:$C$12, 2, FALSE)</f>
        <v>Friday</v>
      </c>
      <c r="P275" s="2">
        <v>0.68611111111111112</v>
      </c>
      <c r="Q275">
        <v>-1</v>
      </c>
      <c r="R275" t="s">
        <v>49</v>
      </c>
      <c r="S275" t="s">
        <v>45</v>
      </c>
      <c r="T275" t="s">
        <v>45</v>
      </c>
      <c r="U275">
        <v>4</v>
      </c>
      <c r="V275" t="str">
        <f>VLOOKUP(U275, Lookups!$B$51:$C$57, 2, FALSE)</f>
        <v>B</v>
      </c>
      <c r="W275">
        <v>4202</v>
      </c>
      <c r="X275" t="str">
        <f t="shared" ref="X275:X284" si="39">V275&amp;W275</f>
        <v>B4202</v>
      </c>
      <c r="Y275">
        <v>6</v>
      </c>
      <c r="Z275" t="str">
        <f>VLOOKUP(Y275, Lookups!$B$14:$C$21, 2, FALSE)</f>
        <v>Single carriageway</v>
      </c>
      <c r="AA275">
        <v>60</v>
      </c>
      <c r="AB275">
        <v>-1</v>
      </c>
      <c r="AC275">
        <v>0</v>
      </c>
      <c r="AD275">
        <v>-1</v>
      </c>
      <c r="AE275">
        <v>0</v>
      </c>
      <c r="AF275">
        <v>-1</v>
      </c>
      <c r="AG275">
        <v>-1</v>
      </c>
      <c r="AH275">
        <v>-1</v>
      </c>
      <c r="AI275">
        <v>0</v>
      </c>
      <c r="AJ275">
        <v>6</v>
      </c>
      <c r="AK275" t="str">
        <f>VLOOKUP(AJ275, Lookups!$B$23:$C$28, 2, FALSE)</f>
        <v>Darkness (Unlit)</v>
      </c>
      <c r="AL275">
        <v>1</v>
      </c>
      <c r="AM275" t="str">
        <f>VLOOKUP(AL275, Lookups!$B$30:$C$39, 2, FALSE)</f>
        <v>Fine / Clear</v>
      </c>
      <c r="AN275">
        <v>2</v>
      </c>
      <c r="AO275" t="str">
        <f>VLOOKUP(AN275, Lookups!$B$41:$C$49, 2, FALSE)</f>
        <v>Wet / damp</v>
      </c>
      <c r="AP275">
        <v>-1</v>
      </c>
      <c r="AQ275">
        <v>-1</v>
      </c>
      <c r="AR275">
        <v>0</v>
      </c>
      <c r="AS275">
        <v>2</v>
      </c>
      <c r="AT275">
        <v>1</v>
      </c>
      <c r="AU275">
        <v>2</v>
      </c>
      <c r="AV275" t="s">
        <v>123</v>
      </c>
      <c r="AW275">
        <v>3</v>
      </c>
      <c r="AX275">
        <v>1</v>
      </c>
      <c r="AY275">
        <v>0</v>
      </c>
      <c r="AZ275">
        <v>1</v>
      </c>
    </row>
    <row r="276" spans="1:52" x14ac:dyDescent="0.35">
      <c r="A276">
        <v>2025221556904</v>
      </c>
      <c r="B276">
        <v>2025</v>
      </c>
      <c r="C276">
        <v>221556904</v>
      </c>
      <c r="D276">
        <v>404668</v>
      </c>
      <c r="E276">
        <v>273481</v>
      </c>
      <c r="F276">
        <v>-1.9328799999999999</v>
      </c>
      <c r="G276">
        <v>52.359369999999998</v>
      </c>
      <c r="H276">
        <v>22</v>
      </c>
      <c r="I276">
        <v>3</v>
      </c>
      <c r="J276" t="str">
        <f>VLOOKUP(I276, Lookups!$B$1:$C$4, 2, FALSE)</f>
        <v>Slight</v>
      </c>
      <c r="K276">
        <v>1</v>
      </c>
      <c r="L276">
        <v>1</v>
      </c>
      <c r="M276" s="1">
        <v>45709</v>
      </c>
      <c r="N276">
        <v>6</v>
      </c>
      <c r="O276" t="str">
        <f>VLOOKUP(N276, Lookups!$B$6:$C$12, 2, FALSE)</f>
        <v>Friday</v>
      </c>
      <c r="P276" s="2">
        <v>0.83125000000000004</v>
      </c>
      <c r="Q276">
        <v>-1</v>
      </c>
      <c r="R276" t="s">
        <v>47</v>
      </c>
      <c r="S276" t="s">
        <v>45</v>
      </c>
      <c r="T276" t="s">
        <v>45</v>
      </c>
      <c r="U276">
        <v>1</v>
      </c>
      <c r="V276" t="str">
        <f>VLOOKUP(U276, Lookups!$B$51:$C$57, 2, FALSE)</f>
        <v>M</v>
      </c>
      <c r="W276">
        <v>42</v>
      </c>
      <c r="X276" t="str">
        <f t="shared" si="39"/>
        <v>M42</v>
      </c>
      <c r="Y276">
        <v>3</v>
      </c>
      <c r="Z276" t="str">
        <f>VLOOKUP(Y276, Lookups!$B$14:$C$21, 2, FALSE)</f>
        <v>Dual carriageway</v>
      </c>
      <c r="AA276">
        <v>70</v>
      </c>
      <c r="AB276">
        <v>-1</v>
      </c>
      <c r="AC276">
        <v>0</v>
      </c>
      <c r="AD276">
        <v>-1</v>
      </c>
      <c r="AE276">
        <v>0</v>
      </c>
      <c r="AF276">
        <v>-1</v>
      </c>
      <c r="AG276">
        <v>-1</v>
      </c>
      <c r="AH276">
        <v>-1</v>
      </c>
      <c r="AI276">
        <v>0</v>
      </c>
      <c r="AJ276">
        <v>5</v>
      </c>
      <c r="AK276" t="str">
        <f>VLOOKUP(AJ276, Lookups!$B$23:$C$28, 2, FALSE)</f>
        <v>Darkness (Unlit)</v>
      </c>
      <c r="AL276">
        <v>2</v>
      </c>
      <c r="AM276" t="str">
        <f>VLOOKUP(AL276, Lookups!$B$30:$C$39, 2, FALSE)</f>
        <v>Rain</v>
      </c>
      <c r="AN276">
        <v>2</v>
      </c>
      <c r="AO276" t="str">
        <f>VLOOKUP(AN276, Lookups!$B$41:$C$49, 2, FALSE)</f>
        <v>Wet / damp</v>
      </c>
      <c r="AP276">
        <v>-1</v>
      </c>
      <c r="AQ276">
        <v>-1</v>
      </c>
      <c r="AR276">
        <v>0</v>
      </c>
      <c r="AS276">
        <v>2</v>
      </c>
      <c r="AT276">
        <v>1</v>
      </c>
      <c r="AU276">
        <v>1</v>
      </c>
      <c r="AV276" t="s">
        <v>77</v>
      </c>
      <c r="AW276">
        <v>3</v>
      </c>
      <c r="AX276">
        <v>1</v>
      </c>
      <c r="AY276">
        <v>0</v>
      </c>
      <c r="AZ276">
        <v>1</v>
      </c>
    </row>
    <row r="277" spans="1:52" x14ac:dyDescent="0.35">
      <c r="A277">
        <v>2025221690293</v>
      </c>
      <c r="B277">
        <v>2025</v>
      </c>
      <c r="C277">
        <v>221690293</v>
      </c>
      <c r="D277">
        <v>399338</v>
      </c>
      <c r="E277">
        <v>270318</v>
      </c>
      <c r="F277">
        <v>-2.0111400000000001</v>
      </c>
      <c r="G277">
        <v>52.330950000000001</v>
      </c>
      <c r="H277">
        <v>22</v>
      </c>
      <c r="I277">
        <v>3</v>
      </c>
      <c r="J277" t="str">
        <f>VLOOKUP(I277, Lookups!$B$1:$C$4, 2, FALSE)</f>
        <v>Slight</v>
      </c>
      <c r="K277">
        <v>2</v>
      </c>
      <c r="L277">
        <v>2</v>
      </c>
      <c r="M277" s="1">
        <v>46002</v>
      </c>
      <c r="N277">
        <v>5</v>
      </c>
      <c r="O277" t="str">
        <f>VLOOKUP(N277, Lookups!$B$6:$C$12, 2, FALSE)</f>
        <v>Thursday</v>
      </c>
      <c r="P277" s="2">
        <v>0.6875</v>
      </c>
      <c r="Q277">
        <v>-1</v>
      </c>
      <c r="R277" t="s">
        <v>47</v>
      </c>
      <c r="S277" t="s">
        <v>45</v>
      </c>
      <c r="T277" t="s">
        <v>45</v>
      </c>
      <c r="U277">
        <v>4</v>
      </c>
      <c r="V277" t="str">
        <f>VLOOKUP(U277, Lookups!$B$51:$C$57, 2, FALSE)</f>
        <v>B</v>
      </c>
      <c r="W277">
        <v>4096</v>
      </c>
      <c r="X277" t="str">
        <f t="shared" si="39"/>
        <v>B4096</v>
      </c>
      <c r="Y277">
        <v>6</v>
      </c>
      <c r="Z277" t="str">
        <f>VLOOKUP(Y277, Lookups!$B$14:$C$21, 2, FALSE)</f>
        <v>Single carriageway</v>
      </c>
      <c r="AA277">
        <v>40</v>
      </c>
      <c r="AB277">
        <v>-1</v>
      </c>
      <c r="AC277">
        <v>16</v>
      </c>
      <c r="AD277">
        <v>4</v>
      </c>
      <c r="AE277">
        <v>6</v>
      </c>
      <c r="AF277">
        <v>0</v>
      </c>
      <c r="AG277">
        <v>-1</v>
      </c>
      <c r="AH277">
        <v>-1</v>
      </c>
      <c r="AI277">
        <v>0</v>
      </c>
      <c r="AJ277">
        <v>6</v>
      </c>
      <c r="AK277" t="str">
        <f>VLOOKUP(AJ277, Lookups!$B$23:$C$28, 2, FALSE)</f>
        <v>Darkness (Unlit)</v>
      </c>
      <c r="AL277">
        <v>1</v>
      </c>
      <c r="AM277" t="str">
        <f>VLOOKUP(AL277, Lookups!$B$30:$C$39, 2, FALSE)</f>
        <v>Fine / Clear</v>
      </c>
      <c r="AN277">
        <v>2</v>
      </c>
      <c r="AO277" t="str">
        <f>VLOOKUP(AN277, Lookups!$B$41:$C$49, 2, FALSE)</f>
        <v>Wet / damp</v>
      </c>
      <c r="AP277">
        <v>-1</v>
      </c>
      <c r="AQ277">
        <v>-1</v>
      </c>
      <c r="AR277">
        <v>0</v>
      </c>
      <c r="AS277">
        <v>2</v>
      </c>
      <c r="AT277">
        <v>1</v>
      </c>
      <c r="AU277">
        <v>2</v>
      </c>
      <c r="AV277" t="s">
        <v>56</v>
      </c>
      <c r="AW277">
        <v>3</v>
      </c>
      <c r="AX277">
        <v>1</v>
      </c>
      <c r="AY277">
        <v>0</v>
      </c>
      <c r="AZ277">
        <v>1</v>
      </c>
    </row>
    <row r="278" spans="1:52" x14ac:dyDescent="0.35">
      <c r="A278">
        <v>2025221614375</v>
      </c>
      <c r="B278">
        <v>2025</v>
      </c>
      <c r="C278">
        <v>221614375</v>
      </c>
      <c r="D278">
        <v>394368</v>
      </c>
      <c r="E278">
        <v>246205</v>
      </c>
      <c r="F278">
        <v>-2.0836600000000001</v>
      </c>
      <c r="G278">
        <v>52.114139999999999</v>
      </c>
      <c r="H278">
        <v>22</v>
      </c>
      <c r="I278">
        <v>3</v>
      </c>
      <c r="J278" t="str">
        <f>VLOOKUP(I278, Lookups!$B$1:$C$4, 2, FALSE)</f>
        <v>Slight</v>
      </c>
      <c r="K278">
        <v>2</v>
      </c>
      <c r="L278">
        <v>1</v>
      </c>
      <c r="M278" s="1">
        <v>45848</v>
      </c>
      <c r="N278">
        <v>5</v>
      </c>
      <c r="O278" t="str">
        <f>VLOOKUP(N278, Lookups!$B$6:$C$12, 2, FALSE)</f>
        <v>Thursday</v>
      </c>
      <c r="P278" s="2">
        <v>0.67361111111111116</v>
      </c>
      <c r="Q278">
        <v>-1</v>
      </c>
      <c r="R278" t="s">
        <v>54</v>
      </c>
      <c r="S278" t="s">
        <v>45</v>
      </c>
      <c r="T278" t="s">
        <v>45</v>
      </c>
      <c r="U278">
        <v>3</v>
      </c>
      <c r="V278" t="str">
        <f>VLOOKUP(U278, Lookups!$B$51:$C$57, 2, FALSE)</f>
        <v>A</v>
      </c>
      <c r="W278">
        <v>4104</v>
      </c>
      <c r="X278" t="str">
        <f t="shared" si="39"/>
        <v>A4104</v>
      </c>
      <c r="Y278">
        <v>6</v>
      </c>
      <c r="Z278" t="str">
        <f>VLOOKUP(Y278, Lookups!$B$14:$C$21, 2, FALSE)</f>
        <v>Single carriageway</v>
      </c>
      <c r="AA278">
        <v>30</v>
      </c>
      <c r="AB278">
        <v>-1</v>
      </c>
      <c r="AC278">
        <v>13</v>
      </c>
      <c r="AD278">
        <v>4</v>
      </c>
      <c r="AE278">
        <v>3</v>
      </c>
      <c r="AF278">
        <v>4104</v>
      </c>
      <c r="AG278">
        <v>-1</v>
      </c>
      <c r="AH278">
        <v>-1</v>
      </c>
      <c r="AI278">
        <v>0</v>
      </c>
      <c r="AJ278">
        <v>1</v>
      </c>
      <c r="AK278" t="str">
        <f>VLOOKUP(AJ278, Lookups!$B$23:$C$28, 2, FALSE)</f>
        <v>Daylight</v>
      </c>
      <c r="AL278">
        <v>1</v>
      </c>
      <c r="AM278" t="str">
        <f>VLOOKUP(AL278, Lookups!$B$30:$C$39, 2, FALSE)</f>
        <v>Fine / Clear</v>
      </c>
      <c r="AN278">
        <v>1</v>
      </c>
      <c r="AO278" t="str">
        <f>VLOOKUP(AN278, Lookups!$B$41:$C$49, 2, FALSE)</f>
        <v>Dry</v>
      </c>
      <c r="AP278">
        <v>-1</v>
      </c>
      <c r="AQ278">
        <v>-1</v>
      </c>
      <c r="AR278">
        <v>0</v>
      </c>
      <c r="AS278">
        <v>2</v>
      </c>
      <c r="AT278">
        <v>1</v>
      </c>
      <c r="AU278">
        <v>2</v>
      </c>
      <c r="AV278" t="s">
        <v>215</v>
      </c>
      <c r="AW278">
        <v>3</v>
      </c>
      <c r="AX278">
        <v>1</v>
      </c>
      <c r="AY278">
        <v>0</v>
      </c>
      <c r="AZ278">
        <v>1</v>
      </c>
    </row>
    <row r="279" spans="1:52" x14ac:dyDescent="0.35">
      <c r="A279">
        <v>2025221600759</v>
      </c>
      <c r="B279">
        <v>2025</v>
      </c>
      <c r="C279">
        <v>221600759</v>
      </c>
      <c r="D279">
        <v>378841</v>
      </c>
      <c r="E279">
        <v>247995</v>
      </c>
      <c r="F279">
        <v>-2.3105099999999998</v>
      </c>
      <c r="G279">
        <v>52.129849999999998</v>
      </c>
      <c r="H279">
        <v>22</v>
      </c>
      <c r="I279">
        <v>2</v>
      </c>
      <c r="J279" t="str">
        <f>VLOOKUP(I279, Lookups!$B$1:$C$4, 2, FALSE)</f>
        <v>Serious</v>
      </c>
      <c r="K279">
        <v>1</v>
      </c>
      <c r="L279">
        <v>1</v>
      </c>
      <c r="M279" s="1">
        <v>45813</v>
      </c>
      <c r="N279">
        <v>5</v>
      </c>
      <c r="O279" t="str">
        <f>VLOOKUP(N279, Lookups!$B$6:$C$12, 2, FALSE)</f>
        <v>Thursday</v>
      </c>
      <c r="P279" s="2">
        <v>0.45763888888888887</v>
      </c>
      <c r="Q279">
        <v>-1</v>
      </c>
      <c r="R279" t="s">
        <v>49</v>
      </c>
      <c r="S279" t="s">
        <v>45</v>
      </c>
      <c r="T279" t="s">
        <v>45</v>
      </c>
      <c r="U279">
        <v>3</v>
      </c>
      <c r="V279" t="str">
        <f>VLOOKUP(U279, Lookups!$B$51:$C$57, 2, FALSE)</f>
        <v>A</v>
      </c>
      <c r="W279">
        <v>449</v>
      </c>
      <c r="X279" t="str">
        <f t="shared" si="39"/>
        <v>A449</v>
      </c>
      <c r="Y279">
        <v>6</v>
      </c>
      <c r="Z279" t="str">
        <f>VLOOKUP(Y279, Lookups!$B$14:$C$21, 2, FALSE)</f>
        <v>Single carriageway</v>
      </c>
      <c r="AA279">
        <v>30</v>
      </c>
      <c r="AB279">
        <v>-1</v>
      </c>
      <c r="AC279">
        <v>19</v>
      </c>
      <c r="AD279">
        <v>4</v>
      </c>
      <c r="AE279">
        <v>6</v>
      </c>
      <c r="AF279">
        <v>0</v>
      </c>
      <c r="AG279">
        <v>-1</v>
      </c>
      <c r="AH279">
        <v>-1</v>
      </c>
      <c r="AI279">
        <v>15</v>
      </c>
      <c r="AJ279">
        <v>1</v>
      </c>
      <c r="AK279" t="str">
        <f>VLOOKUP(AJ279, Lookups!$B$23:$C$28, 2, FALSE)</f>
        <v>Daylight</v>
      </c>
      <c r="AL279">
        <v>2</v>
      </c>
      <c r="AM279" t="str">
        <f>VLOOKUP(AL279, Lookups!$B$30:$C$39, 2, FALSE)</f>
        <v>Rain</v>
      </c>
      <c r="AN279">
        <v>2</v>
      </c>
      <c r="AO279" t="str">
        <f>VLOOKUP(AN279, Lookups!$B$41:$C$49, 2, FALSE)</f>
        <v>Wet / damp</v>
      </c>
      <c r="AP279">
        <v>-1</v>
      </c>
      <c r="AQ279">
        <v>-1</v>
      </c>
      <c r="AR279">
        <v>0</v>
      </c>
      <c r="AS279">
        <v>1</v>
      </c>
      <c r="AT279">
        <v>1</v>
      </c>
      <c r="AU279">
        <v>2</v>
      </c>
      <c r="AV279" t="s">
        <v>216</v>
      </c>
      <c r="AW279">
        <v>6</v>
      </c>
      <c r="AX279">
        <v>1</v>
      </c>
      <c r="AY279">
        <v>1</v>
      </c>
      <c r="AZ279">
        <v>0</v>
      </c>
    </row>
    <row r="280" spans="1:52" x14ac:dyDescent="0.35">
      <c r="A280">
        <v>2025221617358</v>
      </c>
      <c r="B280">
        <v>2025</v>
      </c>
      <c r="C280">
        <v>221617358</v>
      </c>
      <c r="D280">
        <v>393330</v>
      </c>
      <c r="E280">
        <v>246689</v>
      </c>
      <c r="F280">
        <v>-2.09883</v>
      </c>
      <c r="G280">
        <v>52.118479999999998</v>
      </c>
      <c r="H280">
        <v>22</v>
      </c>
      <c r="I280">
        <v>3</v>
      </c>
      <c r="J280" t="str">
        <f>VLOOKUP(I280, Lookups!$B$1:$C$4, 2, FALSE)</f>
        <v>Slight</v>
      </c>
      <c r="K280">
        <v>2</v>
      </c>
      <c r="L280">
        <v>1</v>
      </c>
      <c r="M280" s="1">
        <v>45855</v>
      </c>
      <c r="N280">
        <v>5</v>
      </c>
      <c r="O280" t="str">
        <f>VLOOKUP(N280, Lookups!$B$6:$C$12, 2, FALSE)</f>
        <v>Thursday</v>
      </c>
      <c r="P280" s="2">
        <v>0.4375</v>
      </c>
      <c r="Q280">
        <v>-1</v>
      </c>
      <c r="R280" t="s">
        <v>54</v>
      </c>
      <c r="S280" t="s">
        <v>45</v>
      </c>
      <c r="T280" t="s">
        <v>45</v>
      </c>
      <c r="U280">
        <v>4</v>
      </c>
      <c r="V280" t="str">
        <f>VLOOKUP(U280, Lookups!$B$51:$C$57, 2, FALSE)</f>
        <v>B</v>
      </c>
      <c r="W280">
        <v>4084</v>
      </c>
      <c r="X280" t="str">
        <f t="shared" si="39"/>
        <v>B4084</v>
      </c>
      <c r="Y280">
        <v>6</v>
      </c>
      <c r="Z280" t="str">
        <f>VLOOKUP(Y280, Lookups!$B$14:$C$21, 2, FALSE)</f>
        <v>Single carriageway</v>
      </c>
      <c r="AA280">
        <v>60</v>
      </c>
      <c r="AB280">
        <v>-1</v>
      </c>
      <c r="AC280">
        <v>0</v>
      </c>
      <c r="AD280">
        <v>-1</v>
      </c>
      <c r="AE280">
        <v>0</v>
      </c>
      <c r="AF280">
        <v>-1</v>
      </c>
      <c r="AG280">
        <v>-1</v>
      </c>
      <c r="AH280">
        <v>-1</v>
      </c>
      <c r="AI280">
        <v>0</v>
      </c>
      <c r="AJ280">
        <v>1</v>
      </c>
      <c r="AK280" t="str">
        <f>VLOOKUP(AJ280, Lookups!$B$23:$C$28, 2, FALSE)</f>
        <v>Daylight</v>
      </c>
      <c r="AL280">
        <v>1</v>
      </c>
      <c r="AM280" t="str">
        <f>VLOOKUP(AL280, Lookups!$B$30:$C$39, 2, FALSE)</f>
        <v>Fine / Clear</v>
      </c>
      <c r="AN280">
        <v>1</v>
      </c>
      <c r="AO280" t="str">
        <f>VLOOKUP(AN280, Lookups!$B$41:$C$49, 2, FALSE)</f>
        <v>Dry</v>
      </c>
      <c r="AP280">
        <v>-1</v>
      </c>
      <c r="AQ280">
        <v>-1</v>
      </c>
      <c r="AR280">
        <v>0</v>
      </c>
      <c r="AS280">
        <v>2</v>
      </c>
      <c r="AT280">
        <v>1</v>
      </c>
      <c r="AU280">
        <v>2</v>
      </c>
      <c r="AV280" t="s">
        <v>217</v>
      </c>
      <c r="AW280">
        <v>3</v>
      </c>
      <c r="AX280">
        <v>1</v>
      </c>
      <c r="AY280">
        <v>0</v>
      </c>
      <c r="AZ280">
        <v>1</v>
      </c>
    </row>
    <row r="281" spans="1:52" x14ac:dyDescent="0.35">
      <c r="A281">
        <v>2025221538402</v>
      </c>
      <c r="B281">
        <v>2025</v>
      </c>
      <c r="C281">
        <v>221538402</v>
      </c>
      <c r="D281">
        <v>384668</v>
      </c>
      <c r="E281">
        <v>256000</v>
      </c>
      <c r="F281">
        <v>-2.2257600000000002</v>
      </c>
      <c r="G281">
        <v>52.202010000000001</v>
      </c>
      <c r="H281">
        <v>22</v>
      </c>
      <c r="I281">
        <v>3</v>
      </c>
      <c r="J281" t="str">
        <f>VLOOKUP(I281, Lookups!$B$1:$C$4, 2, FALSE)</f>
        <v>Slight</v>
      </c>
      <c r="K281">
        <v>2</v>
      </c>
      <c r="L281">
        <v>2</v>
      </c>
      <c r="M281" s="1">
        <v>45663</v>
      </c>
      <c r="N281">
        <v>2</v>
      </c>
      <c r="O281" t="str">
        <f>VLOOKUP(N281, Lookups!$B$6:$C$12, 2, FALSE)</f>
        <v>Monday</v>
      </c>
      <c r="P281" s="2">
        <v>0.83333333333333337</v>
      </c>
      <c r="Q281">
        <v>-1</v>
      </c>
      <c r="R281" t="s">
        <v>60</v>
      </c>
      <c r="S281" t="s">
        <v>45</v>
      </c>
      <c r="T281" t="s">
        <v>45</v>
      </c>
      <c r="U281">
        <v>3</v>
      </c>
      <c r="V281" t="str">
        <f>VLOOKUP(U281, Lookups!$B$51:$C$57, 2, FALSE)</f>
        <v>A</v>
      </c>
      <c r="W281">
        <v>38</v>
      </c>
      <c r="X281" t="str">
        <f t="shared" si="39"/>
        <v>A38</v>
      </c>
      <c r="Y281">
        <v>6</v>
      </c>
      <c r="Z281" t="str">
        <f>VLOOKUP(Y281, Lookups!$B$14:$C$21, 2, FALSE)</f>
        <v>Single carriageway</v>
      </c>
      <c r="AA281">
        <v>30</v>
      </c>
      <c r="AB281">
        <v>-1</v>
      </c>
      <c r="AC281">
        <v>0</v>
      </c>
      <c r="AD281">
        <v>-1</v>
      </c>
      <c r="AE281">
        <v>6</v>
      </c>
      <c r="AF281">
        <v>0</v>
      </c>
      <c r="AG281">
        <v>-1</v>
      </c>
      <c r="AH281">
        <v>-1</v>
      </c>
      <c r="AI281">
        <v>0</v>
      </c>
      <c r="AJ281">
        <v>4</v>
      </c>
      <c r="AK281" t="str">
        <f>VLOOKUP(AJ281, Lookups!$B$23:$C$28, 2, FALSE)</f>
        <v>Darkness (Lit)</v>
      </c>
      <c r="AL281">
        <v>1</v>
      </c>
      <c r="AM281" t="str">
        <f>VLOOKUP(AL281, Lookups!$B$30:$C$39, 2, FALSE)</f>
        <v>Fine / Clear</v>
      </c>
      <c r="AN281">
        <v>2</v>
      </c>
      <c r="AO281" t="str">
        <f>VLOOKUP(AN281, Lookups!$B$41:$C$49, 2, FALSE)</f>
        <v>Wet / damp</v>
      </c>
      <c r="AP281">
        <v>-1</v>
      </c>
      <c r="AQ281">
        <v>-1</v>
      </c>
      <c r="AR281">
        <v>0</v>
      </c>
      <c r="AS281">
        <v>1</v>
      </c>
      <c r="AT281">
        <v>1</v>
      </c>
      <c r="AU281">
        <v>2</v>
      </c>
      <c r="AV281" t="s">
        <v>142</v>
      </c>
      <c r="AW281">
        <v>3</v>
      </c>
      <c r="AX281">
        <v>1</v>
      </c>
      <c r="AY281">
        <v>0</v>
      </c>
      <c r="AZ281">
        <v>1</v>
      </c>
    </row>
    <row r="282" spans="1:52" x14ac:dyDescent="0.35">
      <c r="A282">
        <v>2025221538474</v>
      </c>
      <c r="B282">
        <v>2025</v>
      </c>
      <c r="C282">
        <v>221538474</v>
      </c>
      <c r="D282">
        <v>375543</v>
      </c>
      <c r="E282">
        <v>265044</v>
      </c>
      <c r="F282">
        <v>-2.3599299999999999</v>
      </c>
      <c r="G282">
        <v>52.282989999999998</v>
      </c>
      <c r="H282">
        <v>22</v>
      </c>
      <c r="I282">
        <v>3</v>
      </c>
      <c r="J282" t="str">
        <f>VLOOKUP(I282, Lookups!$B$1:$C$4, 2, FALSE)</f>
        <v>Slight</v>
      </c>
      <c r="K282">
        <v>1</v>
      </c>
      <c r="L282">
        <v>1</v>
      </c>
      <c r="M282" s="1">
        <v>45664</v>
      </c>
      <c r="N282">
        <v>3</v>
      </c>
      <c r="O282" t="str">
        <f>VLOOKUP(N282, Lookups!$B$6:$C$12, 2, FALSE)</f>
        <v>Tuesday</v>
      </c>
      <c r="P282" s="2">
        <v>0.28472222222222221</v>
      </c>
      <c r="Q282">
        <v>-1</v>
      </c>
      <c r="R282" t="s">
        <v>49</v>
      </c>
      <c r="S282" t="s">
        <v>45</v>
      </c>
      <c r="T282" t="s">
        <v>45</v>
      </c>
      <c r="U282">
        <v>4</v>
      </c>
      <c r="V282" t="str">
        <f>VLOOKUP(U282, Lookups!$B$51:$C$57, 2, FALSE)</f>
        <v>B</v>
      </c>
      <c r="W282">
        <v>4197</v>
      </c>
      <c r="X282" t="str">
        <f t="shared" si="39"/>
        <v>B4197</v>
      </c>
      <c r="Y282">
        <v>6</v>
      </c>
      <c r="Z282" t="str">
        <f>VLOOKUP(Y282, Lookups!$B$14:$C$21, 2, FALSE)</f>
        <v>Single carriageway</v>
      </c>
      <c r="AA282">
        <v>60</v>
      </c>
      <c r="AB282">
        <v>-1</v>
      </c>
      <c r="AC282">
        <v>0</v>
      </c>
      <c r="AD282">
        <v>-1</v>
      </c>
      <c r="AE282">
        <v>0</v>
      </c>
      <c r="AF282">
        <v>-1</v>
      </c>
      <c r="AG282">
        <v>-1</v>
      </c>
      <c r="AH282">
        <v>-1</v>
      </c>
      <c r="AI282">
        <v>0</v>
      </c>
      <c r="AJ282">
        <v>6</v>
      </c>
      <c r="AK282" t="str">
        <f>VLOOKUP(AJ282, Lookups!$B$23:$C$28, 2, FALSE)</f>
        <v>Darkness (Unlit)</v>
      </c>
      <c r="AL282">
        <v>1</v>
      </c>
      <c r="AM282" t="str">
        <f>VLOOKUP(AL282, Lookups!$B$30:$C$39, 2, FALSE)</f>
        <v>Fine / Clear</v>
      </c>
      <c r="AN282">
        <v>4</v>
      </c>
      <c r="AO282" t="str">
        <f>VLOOKUP(AN282, Lookups!$B$41:$C$49, 2, FALSE)</f>
        <v>Frost or ice</v>
      </c>
      <c r="AP282">
        <v>-1</v>
      </c>
      <c r="AQ282">
        <v>-1</v>
      </c>
      <c r="AR282">
        <v>0</v>
      </c>
      <c r="AS282">
        <v>2</v>
      </c>
      <c r="AT282">
        <v>1</v>
      </c>
      <c r="AU282">
        <v>2</v>
      </c>
      <c r="AV282" t="s">
        <v>76</v>
      </c>
      <c r="AW282">
        <v>3</v>
      </c>
      <c r="AX282">
        <v>1</v>
      </c>
      <c r="AY282">
        <v>0</v>
      </c>
      <c r="AZ282">
        <v>1</v>
      </c>
    </row>
    <row r="283" spans="1:52" x14ac:dyDescent="0.35">
      <c r="A283">
        <v>2025221574770</v>
      </c>
      <c r="B283">
        <v>2025</v>
      </c>
      <c r="C283">
        <v>221574770</v>
      </c>
      <c r="D283">
        <v>385778</v>
      </c>
      <c r="E283">
        <v>277422</v>
      </c>
      <c r="F283">
        <v>-2.2104300000000001</v>
      </c>
      <c r="G283">
        <v>52.394629999999999</v>
      </c>
      <c r="H283">
        <v>22</v>
      </c>
      <c r="I283">
        <v>2</v>
      </c>
      <c r="J283" t="str">
        <f>VLOOKUP(I283, Lookups!$B$1:$C$4, 2, FALSE)</f>
        <v>Serious</v>
      </c>
      <c r="K283">
        <v>2</v>
      </c>
      <c r="L283">
        <v>1</v>
      </c>
      <c r="M283" s="1">
        <v>45753</v>
      </c>
      <c r="N283">
        <v>1</v>
      </c>
      <c r="O283" t="str">
        <f>VLOOKUP(N283, Lookups!$B$6:$C$12, 2, FALSE)</f>
        <v>Sunday</v>
      </c>
      <c r="P283" s="2">
        <v>0.49652777777777779</v>
      </c>
      <c r="Q283">
        <v>-1</v>
      </c>
      <c r="R283" t="s">
        <v>44</v>
      </c>
      <c r="S283" t="s">
        <v>45</v>
      </c>
      <c r="T283" t="s">
        <v>45</v>
      </c>
      <c r="U283">
        <v>3</v>
      </c>
      <c r="V283" t="str">
        <f>VLOOKUP(U283, Lookups!$B$51:$C$57, 2, FALSE)</f>
        <v>A</v>
      </c>
      <c r="W283">
        <v>456</v>
      </c>
      <c r="X283" t="str">
        <f t="shared" si="39"/>
        <v>A456</v>
      </c>
      <c r="Y283">
        <v>3</v>
      </c>
      <c r="Z283" t="str">
        <f>VLOOKUP(Y283, Lookups!$B$14:$C$21, 2, FALSE)</f>
        <v>Dual carriageway</v>
      </c>
      <c r="AA283">
        <v>50</v>
      </c>
      <c r="AB283">
        <v>-1</v>
      </c>
      <c r="AC283">
        <v>19</v>
      </c>
      <c r="AD283">
        <v>4</v>
      </c>
      <c r="AE283">
        <v>6</v>
      </c>
      <c r="AF283">
        <v>0</v>
      </c>
      <c r="AG283">
        <v>-1</v>
      </c>
      <c r="AH283">
        <v>-1</v>
      </c>
      <c r="AI283">
        <v>0</v>
      </c>
      <c r="AJ283">
        <v>1</v>
      </c>
      <c r="AK283" t="str">
        <f>VLOOKUP(AJ283, Lookups!$B$23:$C$28, 2, FALSE)</f>
        <v>Daylight</v>
      </c>
      <c r="AL283">
        <v>1</v>
      </c>
      <c r="AM283" t="str">
        <f>VLOOKUP(AL283, Lookups!$B$30:$C$39, 2, FALSE)</f>
        <v>Fine / Clear</v>
      </c>
      <c r="AN283">
        <v>1</v>
      </c>
      <c r="AO283" t="str">
        <f>VLOOKUP(AN283, Lookups!$B$41:$C$49, 2, FALSE)</f>
        <v>Dry</v>
      </c>
      <c r="AP283">
        <v>-1</v>
      </c>
      <c r="AQ283">
        <v>-1</v>
      </c>
      <c r="AR283">
        <v>0</v>
      </c>
      <c r="AS283">
        <v>2</v>
      </c>
      <c r="AT283">
        <v>1</v>
      </c>
      <c r="AU283">
        <v>2</v>
      </c>
      <c r="AV283" t="s">
        <v>80</v>
      </c>
      <c r="AW283">
        <v>7</v>
      </c>
      <c r="AX283">
        <v>1</v>
      </c>
      <c r="AY283">
        <v>1</v>
      </c>
      <c r="AZ283">
        <v>0</v>
      </c>
    </row>
    <row r="284" spans="1:52" x14ac:dyDescent="0.35">
      <c r="A284">
        <v>2025221599779</v>
      </c>
      <c r="B284">
        <v>2025</v>
      </c>
      <c r="C284">
        <v>221599779</v>
      </c>
      <c r="D284">
        <v>388961</v>
      </c>
      <c r="E284">
        <v>241550</v>
      </c>
      <c r="F284">
        <v>-2.1624699999999999</v>
      </c>
      <c r="G284">
        <v>52.072200000000002</v>
      </c>
      <c r="H284">
        <v>22</v>
      </c>
      <c r="I284">
        <v>2</v>
      </c>
      <c r="J284" t="str">
        <f>VLOOKUP(I284, Lookups!$B$1:$C$4, 2, FALSE)</f>
        <v>Serious</v>
      </c>
      <c r="K284">
        <v>2</v>
      </c>
      <c r="L284">
        <v>2</v>
      </c>
      <c r="M284" s="1">
        <v>45814</v>
      </c>
      <c r="N284">
        <v>6</v>
      </c>
      <c r="O284" t="str">
        <f>VLOOKUP(N284, Lookups!$B$6:$C$12, 2, FALSE)</f>
        <v>Friday</v>
      </c>
      <c r="P284" s="2">
        <v>0.3611111111111111</v>
      </c>
      <c r="Q284">
        <v>-1</v>
      </c>
      <c r="R284" t="s">
        <v>49</v>
      </c>
      <c r="S284" t="s">
        <v>45</v>
      </c>
      <c r="T284" t="s">
        <v>45</v>
      </c>
      <c r="U284">
        <v>1</v>
      </c>
      <c r="V284" t="str">
        <f>VLOOKUP(U284, Lookups!$B$51:$C$57, 2, FALSE)</f>
        <v>M</v>
      </c>
      <c r="W284">
        <v>5</v>
      </c>
      <c r="X284" t="str">
        <f t="shared" si="39"/>
        <v>M5</v>
      </c>
      <c r="Y284">
        <v>3</v>
      </c>
      <c r="Z284" t="str">
        <f>VLOOKUP(Y284, Lookups!$B$14:$C$21, 2, FALSE)</f>
        <v>Dual carriageway</v>
      </c>
      <c r="AA284">
        <v>70</v>
      </c>
      <c r="AB284">
        <v>-1</v>
      </c>
      <c r="AC284">
        <v>0</v>
      </c>
      <c r="AD284">
        <v>-1</v>
      </c>
      <c r="AE284">
        <v>0</v>
      </c>
      <c r="AF284">
        <v>-1</v>
      </c>
      <c r="AG284">
        <v>-1</v>
      </c>
      <c r="AH284">
        <v>-1</v>
      </c>
      <c r="AI284">
        <v>0</v>
      </c>
      <c r="AJ284">
        <v>1</v>
      </c>
      <c r="AK284" t="str">
        <f>VLOOKUP(AJ284, Lookups!$B$23:$C$28, 2, FALSE)</f>
        <v>Daylight</v>
      </c>
      <c r="AL284">
        <v>2</v>
      </c>
      <c r="AM284" t="str">
        <f>VLOOKUP(AL284, Lookups!$B$30:$C$39, 2, FALSE)</f>
        <v>Rain</v>
      </c>
      <c r="AN284">
        <v>2</v>
      </c>
      <c r="AO284" t="str">
        <f>VLOOKUP(AN284, Lookups!$B$41:$C$49, 2, FALSE)</f>
        <v>Wet / damp</v>
      </c>
      <c r="AP284">
        <v>-1</v>
      </c>
      <c r="AQ284">
        <v>-1</v>
      </c>
      <c r="AR284">
        <v>0</v>
      </c>
      <c r="AS284">
        <v>2</v>
      </c>
      <c r="AT284">
        <v>1</v>
      </c>
      <c r="AU284">
        <v>1</v>
      </c>
      <c r="AV284" t="s">
        <v>189</v>
      </c>
      <c r="AW284">
        <v>5</v>
      </c>
      <c r="AX284">
        <v>1</v>
      </c>
      <c r="AY284">
        <v>1</v>
      </c>
      <c r="AZ284">
        <v>0</v>
      </c>
    </row>
    <row r="285" spans="1:52" x14ac:dyDescent="0.35">
      <c r="A285">
        <v>2025221660973</v>
      </c>
      <c r="B285">
        <v>2025</v>
      </c>
      <c r="C285">
        <v>221660973</v>
      </c>
      <c r="D285">
        <v>388908</v>
      </c>
      <c r="E285">
        <v>244861</v>
      </c>
      <c r="F285">
        <v>-2.1633499999999999</v>
      </c>
      <c r="G285">
        <v>52.101970000000001</v>
      </c>
      <c r="H285">
        <v>22</v>
      </c>
      <c r="I285">
        <v>2</v>
      </c>
      <c r="J285" t="str">
        <f>VLOOKUP(I285, Lookups!$B$1:$C$4, 2, FALSE)</f>
        <v>Serious</v>
      </c>
      <c r="K285">
        <v>1</v>
      </c>
      <c r="L285">
        <v>1</v>
      </c>
      <c r="M285" s="1">
        <v>45953</v>
      </c>
      <c r="N285">
        <v>5</v>
      </c>
      <c r="O285" t="str">
        <f>VLOOKUP(N285, Lookups!$B$6:$C$12, 2, FALSE)</f>
        <v>Thursday</v>
      </c>
      <c r="P285" s="2">
        <v>0.89583333333333337</v>
      </c>
      <c r="Q285">
        <v>-1</v>
      </c>
      <c r="R285" t="s">
        <v>49</v>
      </c>
      <c r="S285" t="s">
        <v>45</v>
      </c>
      <c r="T285" t="s">
        <v>45</v>
      </c>
      <c r="U285">
        <v>6</v>
      </c>
      <c r="V285" t="str">
        <f>VLOOKUP(U285, Lookups!$B$51:$C$57, 2, FALSE)</f>
        <v>Unclassified</v>
      </c>
      <c r="W285">
        <v>0</v>
      </c>
      <c r="X285" t="s">
        <v>362</v>
      </c>
      <c r="Y285">
        <v>6</v>
      </c>
      <c r="Z285" t="str">
        <f>VLOOKUP(Y285, Lookups!$B$14:$C$21, 2, FALSE)</f>
        <v>Single carriageway</v>
      </c>
      <c r="AA285">
        <v>60</v>
      </c>
      <c r="AB285">
        <v>-1</v>
      </c>
      <c r="AC285">
        <v>0</v>
      </c>
      <c r="AD285">
        <v>-1</v>
      </c>
      <c r="AE285">
        <v>0</v>
      </c>
      <c r="AF285">
        <v>-1</v>
      </c>
      <c r="AG285">
        <v>-1</v>
      </c>
      <c r="AH285">
        <v>-1</v>
      </c>
      <c r="AI285">
        <v>0</v>
      </c>
      <c r="AJ285">
        <v>6</v>
      </c>
      <c r="AK285" t="str">
        <f>VLOOKUP(AJ285, Lookups!$B$23:$C$28, 2, FALSE)</f>
        <v>Darkness (Unlit)</v>
      </c>
      <c r="AL285">
        <v>2</v>
      </c>
      <c r="AM285" t="str">
        <f>VLOOKUP(AL285, Lookups!$B$30:$C$39, 2, FALSE)</f>
        <v>Rain</v>
      </c>
      <c r="AN285">
        <v>2</v>
      </c>
      <c r="AO285" t="str">
        <f>VLOOKUP(AN285, Lookups!$B$41:$C$49, 2, FALSE)</f>
        <v>Wet / damp</v>
      </c>
      <c r="AP285">
        <v>-1</v>
      </c>
      <c r="AQ285">
        <v>-1</v>
      </c>
      <c r="AR285">
        <v>0</v>
      </c>
      <c r="AS285">
        <v>2</v>
      </c>
      <c r="AT285">
        <v>2</v>
      </c>
      <c r="AU285">
        <v>2</v>
      </c>
      <c r="AV285" t="s">
        <v>50</v>
      </c>
      <c r="AW285">
        <v>6</v>
      </c>
      <c r="AX285">
        <v>1</v>
      </c>
      <c r="AY285">
        <v>1</v>
      </c>
      <c r="AZ285">
        <v>0</v>
      </c>
    </row>
    <row r="286" spans="1:52" x14ac:dyDescent="0.35">
      <c r="A286">
        <v>2025221604594</v>
      </c>
      <c r="B286">
        <v>2025</v>
      </c>
      <c r="C286">
        <v>221604594</v>
      </c>
      <c r="D286">
        <v>394164</v>
      </c>
      <c r="E286">
        <v>246096</v>
      </c>
      <c r="F286">
        <v>-2.0866400000000001</v>
      </c>
      <c r="G286">
        <v>52.113160000000001</v>
      </c>
      <c r="H286">
        <v>22</v>
      </c>
      <c r="I286">
        <v>3</v>
      </c>
      <c r="J286" t="str">
        <f>VLOOKUP(I286, Lookups!$B$1:$C$4, 2, FALSE)</f>
        <v>Slight</v>
      </c>
      <c r="K286">
        <v>2</v>
      </c>
      <c r="L286">
        <v>1</v>
      </c>
      <c r="M286" s="1">
        <v>45826</v>
      </c>
      <c r="N286">
        <v>4</v>
      </c>
      <c r="O286" t="str">
        <f>VLOOKUP(N286, Lookups!$B$6:$C$12, 2, FALSE)</f>
        <v>Wednesday</v>
      </c>
      <c r="P286" s="2">
        <v>0.54166666666666663</v>
      </c>
      <c r="Q286">
        <v>-1</v>
      </c>
      <c r="R286" t="s">
        <v>54</v>
      </c>
      <c r="S286" t="s">
        <v>45</v>
      </c>
      <c r="T286" t="s">
        <v>45</v>
      </c>
      <c r="U286">
        <v>6</v>
      </c>
      <c r="V286" t="str">
        <f>VLOOKUP(U286, Lookups!$B$51:$C$57, 2, FALSE)</f>
        <v>Unclassified</v>
      </c>
      <c r="W286">
        <v>0</v>
      </c>
      <c r="X286" t="s">
        <v>362</v>
      </c>
      <c r="Y286">
        <v>6</v>
      </c>
      <c r="Z286" t="str">
        <f>VLOOKUP(Y286, Lookups!$B$14:$C$21, 2, FALSE)</f>
        <v>Single carriageway</v>
      </c>
      <c r="AA286">
        <v>20</v>
      </c>
      <c r="AB286">
        <v>-1</v>
      </c>
      <c r="AC286">
        <v>0</v>
      </c>
      <c r="AD286">
        <v>-1</v>
      </c>
      <c r="AE286">
        <v>6</v>
      </c>
      <c r="AF286">
        <v>0</v>
      </c>
      <c r="AG286">
        <v>-1</v>
      </c>
      <c r="AH286">
        <v>-1</v>
      </c>
      <c r="AI286">
        <v>0</v>
      </c>
      <c r="AJ286">
        <v>1</v>
      </c>
      <c r="AK286" t="str">
        <f>VLOOKUP(AJ286, Lookups!$B$23:$C$28, 2, FALSE)</f>
        <v>Daylight</v>
      </c>
      <c r="AL286">
        <v>1</v>
      </c>
      <c r="AM286" t="str">
        <f>VLOOKUP(AL286, Lookups!$B$30:$C$39, 2, FALSE)</f>
        <v>Fine / Clear</v>
      </c>
      <c r="AN286">
        <v>1</v>
      </c>
      <c r="AO286" t="str">
        <f>VLOOKUP(AN286, Lookups!$B$41:$C$49, 2, FALSE)</f>
        <v>Dry</v>
      </c>
      <c r="AP286">
        <v>-1</v>
      </c>
      <c r="AQ286">
        <v>-1</v>
      </c>
      <c r="AR286">
        <v>0</v>
      </c>
      <c r="AS286">
        <v>2</v>
      </c>
      <c r="AT286">
        <v>3</v>
      </c>
      <c r="AU286">
        <v>2</v>
      </c>
      <c r="AV286" t="s">
        <v>218</v>
      </c>
      <c r="AW286">
        <v>3</v>
      </c>
      <c r="AX286">
        <v>1</v>
      </c>
      <c r="AY286">
        <v>0</v>
      </c>
      <c r="AZ286">
        <v>1</v>
      </c>
    </row>
    <row r="287" spans="1:52" x14ac:dyDescent="0.35">
      <c r="A287">
        <v>2025221680414</v>
      </c>
      <c r="B287">
        <v>2025</v>
      </c>
      <c r="C287">
        <v>221680414</v>
      </c>
      <c r="D287">
        <v>405161</v>
      </c>
      <c r="E287">
        <v>267539</v>
      </c>
      <c r="F287">
        <v>-1.9257299999999999</v>
      </c>
      <c r="G287">
        <v>52.30594</v>
      </c>
      <c r="H287">
        <v>22</v>
      </c>
      <c r="I287">
        <v>3</v>
      </c>
      <c r="J287" t="str">
        <f>VLOOKUP(I287, Lookups!$B$1:$C$4, 2, FALSE)</f>
        <v>Slight</v>
      </c>
      <c r="K287">
        <v>1</v>
      </c>
      <c r="L287">
        <v>1</v>
      </c>
      <c r="M287" s="1">
        <v>46000</v>
      </c>
      <c r="N287">
        <v>3</v>
      </c>
      <c r="O287" t="str">
        <f>VLOOKUP(N287, Lookups!$B$6:$C$12, 2, FALSE)</f>
        <v>Tuesday</v>
      </c>
      <c r="P287" s="2">
        <v>4.1666666666666664E-2</v>
      </c>
      <c r="Q287">
        <v>-1</v>
      </c>
      <c r="R287" t="s">
        <v>69</v>
      </c>
      <c r="S287" t="s">
        <v>45</v>
      </c>
      <c r="T287" t="s">
        <v>45</v>
      </c>
      <c r="U287">
        <v>6</v>
      </c>
      <c r="V287" t="str">
        <f>VLOOKUP(U287, Lookups!$B$51:$C$57, 2, FALSE)</f>
        <v>Unclassified</v>
      </c>
      <c r="W287">
        <v>0</v>
      </c>
      <c r="X287" t="s">
        <v>362</v>
      </c>
      <c r="Y287">
        <v>6</v>
      </c>
      <c r="Z287" t="str">
        <f>VLOOKUP(Y287, Lookups!$B$14:$C$21, 2, FALSE)</f>
        <v>Single carriageway</v>
      </c>
      <c r="AA287">
        <v>30</v>
      </c>
      <c r="AB287">
        <v>-1</v>
      </c>
      <c r="AC287">
        <v>13</v>
      </c>
      <c r="AD287">
        <v>4</v>
      </c>
      <c r="AE287">
        <v>6</v>
      </c>
      <c r="AF287">
        <v>0</v>
      </c>
      <c r="AG287">
        <v>-1</v>
      </c>
      <c r="AH287">
        <v>-1</v>
      </c>
      <c r="AI287">
        <v>0</v>
      </c>
      <c r="AJ287">
        <v>4</v>
      </c>
      <c r="AK287" t="str">
        <f>VLOOKUP(AJ287, Lookups!$B$23:$C$28, 2, FALSE)</f>
        <v>Darkness (Lit)</v>
      </c>
      <c r="AL287">
        <v>2</v>
      </c>
      <c r="AM287" t="str">
        <f>VLOOKUP(AL287, Lookups!$B$30:$C$39, 2, FALSE)</f>
        <v>Rain</v>
      </c>
      <c r="AN287">
        <v>2</v>
      </c>
      <c r="AO287" t="str">
        <f>VLOOKUP(AN287, Lookups!$B$41:$C$49, 2, FALSE)</f>
        <v>Wet / damp</v>
      </c>
      <c r="AP287">
        <v>-1</v>
      </c>
      <c r="AQ287">
        <v>-1</v>
      </c>
      <c r="AR287">
        <v>0</v>
      </c>
      <c r="AS287">
        <v>1</v>
      </c>
      <c r="AT287">
        <v>2</v>
      </c>
      <c r="AU287">
        <v>2</v>
      </c>
      <c r="AV287" t="s">
        <v>192</v>
      </c>
      <c r="AW287">
        <v>3</v>
      </c>
      <c r="AX287">
        <v>1</v>
      </c>
      <c r="AY287">
        <v>0</v>
      </c>
      <c r="AZ287">
        <v>1</v>
      </c>
    </row>
    <row r="288" spans="1:52" x14ac:dyDescent="0.35">
      <c r="A288">
        <v>2025221573572</v>
      </c>
      <c r="B288">
        <v>2025</v>
      </c>
      <c r="C288">
        <v>221573572</v>
      </c>
      <c r="D288">
        <v>389387</v>
      </c>
      <c r="E288">
        <v>256955</v>
      </c>
      <c r="F288">
        <v>-2.1567400000000001</v>
      </c>
      <c r="G288">
        <v>52.210709999999999</v>
      </c>
      <c r="H288">
        <v>22</v>
      </c>
      <c r="I288">
        <v>3</v>
      </c>
      <c r="J288" t="str">
        <f>VLOOKUP(I288, Lookups!$B$1:$C$4, 2, FALSE)</f>
        <v>Slight</v>
      </c>
      <c r="K288">
        <v>2</v>
      </c>
      <c r="L288">
        <v>1</v>
      </c>
      <c r="M288" s="1">
        <v>45748</v>
      </c>
      <c r="N288">
        <v>3</v>
      </c>
      <c r="O288" t="str">
        <f>VLOOKUP(N288, Lookups!$B$6:$C$12, 2, FALSE)</f>
        <v>Tuesday</v>
      </c>
      <c r="P288" s="2">
        <v>0.67222222222222228</v>
      </c>
      <c r="Q288">
        <v>-1</v>
      </c>
      <c r="R288" t="s">
        <v>54</v>
      </c>
      <c r="S288" t="s">
        <v>45</v>
      </c>
      <c r="T288" t="s">
        <v>45</v>
      </c>
      <c r="U288">
        <v>3</v>
      </c>
      <c r="V288" t="str">
        <f>VLOOKUP(U288, Lookups!$B$51:$C$57, 2, FALSE)</f>
        <v>A</v>
      </c>
      <c r="W288">
        <v>4538</v>
      </c>
      <c r="X288" t="str">
        <f>V288&amp;W288</f>
        <v>A4538</v>
      </c>
      <c r="Y288">
        <v>6</v>
      </c>
      <c r="Z288" t="str">
        <f>VLOOKUP(Y288, Lookups!$B$14:$C$21, 2, FALSE)</f>
        <v>Single carriageway</v>
      </c>
      <c r="AA288">
        <v>60</v>
      </c>
      <c r="AB288">
        <v>-1</v>
      </c>
      <c r="AC288">
        <v>0</v>
      </c>
      <c r="AD288">
        <v>-1</v>
      </c>
      <c r="AE288">
        <v>0</v>
      </c>
      <c r="AF288">
        <v>-1</v>
      </c>
      <c r="AG288">
        <v>-1</v>
      </c>
      <c r="AH288">
        <v>-1</v>
      </c>
      <c r="AI288">
        <v>0</v>
      </c>
      <c r="AJ288">
        <v>1</v>
      </c>
      <c r="AK288" t="str">
        <f>VLOOKUP(AJ288, Lookups!$B$23:$C$28, 2, FALSE)</f>
        <v>Daylight</v>
      </c>
      <c r="AL288">
        <v>1</v>
      </c>
      <c r="AM288" t="str">
        <f>VLOOKUP(AL288, Lookups!$B$30:$C$39, 2, FALSE)</f>
        <v>Fine / Clear</v>
      </c>
      <c r="AN288">
        <v>1</v>
      </c>
      <c r="AO288" t="str">
        <f>VLOOKUP(AN288, Lookups!$B$41:$C$49, 2, FALSE)</f>
        <v>Dry</v>
      </c>
      <c r="AP288">
        <v>-1</v>
      </c>
      <c r="AQ288">
        <v>-1</v>
      </c>
      <c r="AR288">
        <v>0</v>
      </c>
      <c r="AS288">
        <v>2</v>
      </c>
      <c r="AT288">
        <v>1</v>
      </c>
      <c r="AU288">
        <v>2</v>
      </c>
      <c r="AV288" t="s">
        <v>107</v>
      </c>
      <c r="AW288">
        <v>3</v>
      </c>
      <c r="AX288">
        <v>1</v>
      </c>
      <c r="AY288">
        <v>0</v>
      </c>
      <c r="AZ288">
        <v>1</v>
      </c>
    </row>
    <row r="289" spans="1:52" x14ac:dyDescent="0.35">
      <c r="A289">
        <v>2025221626475</v>
      </c>
      <c r="B289">
        <v>2025</v>
      </c>
      <c r="C289">
        <v>221626475</v>
      </c>
      <c r="D289">
        <v>403305</v>
      </c>
      <c r="E289">
        <v>254554</v>
      </c>
      <c r="F289">
        <v>-1.9530700000000001</v>
      </c>
      <c r="G289">
        <v>52.189219999999999</v>
      </c>
      <c r="H289">
        <v>22</v>
      </c>
      <c r="I289">
        <v>3</v>
      </c>
      <c r="J289" t="str">
        <f>VLOOKUP(I289, Lookups!$B$1:$C$4, 2, FALSE)</f>
        <v>Slight</v>
      </c>
      <c r="K289">
        <v>1</v>
      </c>
      <c r="L289">
        <v>1</v>
      </c>
      <c r="M289" s="1">
        <v>45877</v>
      </c>
      <c r="N289">
        <v>6</v>
      </c>
      <c r="O289" t="str">
        <f>VLOOKUP(N289, Lookups!$B$6:$C$12, 2, FALSE)</f>
        <v>Friday</v>
      </c>
      <c r="P289" s="2">
        <v>0.63541666666666663</v>
      </c>
      <c r="Q289">
        <v>-1</v>
      </c>
      <c r="R289" t="s">
        <v>54</v>
      </c>
      <c r="S289" t="s">
        <v>45</v>
      </c>
      <c r="T289" t="s">
        <v>45</v>
      </c>
      <c r="U289">
        <v>6</v>
      </c>
      <c r="V289" t="str">
        <f>VLOOKUP(U289, Lookups!$B$51:$C$57, 2, FALSE)</f>
        <v>Unclassified</v>
      </c>
      <c r="W289">
        <v>0</v>
      </c>
      <c r="X289" t="s">
        <v>362</v>
      </c>
      <c r="Y289">
        <v>6</v>
      </c>
      <c r="Z289" t="str">
        <f>VLOOKUP(Y289, Lookups!$B$14:$C$21, 2, FALSE)</f>
        <v>Single carriageway</v>
      </c>
      <c r="AA289">
        <v>60</v>
      </c>
      <c r="AB289">
        <v>-1</v>
      </c>
      <c r="AC289">
        <v>0</v>
      </c>
      <c r="AD289">
        <v>-1</v>
      </c>
      <c r="AE289">
        <v>0</v>
      </c>
      <c r="AF289">
        <v>-1</v>
      </c>
      <c r="AG289">
        <v>-1</v>
      </c>
      <c r="AH289">
        <v>-1</v>
      </c>
      <c r="AI289">
        <v>0</v>
      </c>
      <c r="AJ289">
        <v>1</v>
      </c>
      <c r="AK289" t="str">
        <f>VLOOKUP(AJ289, Lookups!$B$23:$C$28, 2, FALSE)</f>
        <v>Daylight</v>
      </c>
      <c r="AL289">
        <v>1</v>
      </c>
      <c r="AM289" t="str">
        <f>VLOOKUP(AL289, Lookups!$B$30:$C$39, 2, FALSE)</f>
        <v>Fine / Clear</v>
      </c>
      <c r="AN289">
        <v>1</v>
      </c>
      <c r="AO289" t="str">
        <f>VLOOKUP(AN289, Lookups!$B$41:$C$49, 2, FALSE)</f>
        <v>Dry</v>
      </c>
      <c r="AP289">
        <v>-1</v>
      </c>
      <c r="AQ289">
        <v>-1</v>
      </c>
      <c r="AR289">
        <v>0</v>
      </c>
      <c r="AS289">
        <v>2</v>
      </c>
      <c r="AT289">
        <v>1</v>
      </c>
      <c r="AU289">
        <v>2</v>
      </c>
      <c r="AV289" t="s">
        <v>219</v>
      </c>
      <c r="AW289">
        <v>3</v>
      </c>
      <c r="AX289">
        <v>1</v>
      </c>
      <c r="AY289">
        <v>0</v>
      </c>
      <c r="AZ289">
        <v>1</v>
      </c>
    </row>
    <row r="290" spans="1:52" x14ac:dyDescent="0.35">
      <c r="A290">
        <v>2025221639911</v>
      </c>
      <c r="B290">
        <v>2025</v>
      </c>
      <c r="C290">
        <v>221639911</v>
      </c>
      <c r="D290">
        <v>386008</v>
      </c>
      <c r="E290">
        <v>257029</v>
      </c>
      <c r="F290">
        <v>-2.2061899999999999</v>
      </c>
      <c r="G290">
        <v>52.211300000000001</v>
      </c>
      <c r="H290">
        <v>22</v>
      </c>
      <c r="I290">
        <v>2</v>
      </c>
      <c r="J290" t="str">
        <f>VLOOKUP(I290, Lookups!$B$1:$C$4, 2, FALSE)</f>
        <v>Serious</v>
      </c>
      <c r="K290">
        <v>2</v>
      </c>
      <c r="L290">
        <v>1</v>
      </c>
      <c r="M290" s="1">
        <v>45910</v>
      </c>
      <c r="N290">
        <v>4</v>
      </c>
      <c r="O290" t="str">
        <f>VLOOKUP(N290, Lookups!$B$6:$C$12, 2, FALSE)</f>
        <v>Wednesday</v>
      </c>
      <c r="P290" s="2">
        <v>0.7583333333333333</v>
      </c>
      <c r="Q290">
        <v>-1</v>
      </c>
      <c r="R290" t="s">
        <v>60</v>
      </c>
      <c r="S290" t="s">
        <v>45</v>
      </c>
      <c r="T290" t="s">
        <v>45</v>
      </c>
      <c r="U290">
        <v>6</v>
      </c>
      <c r="V290" t="str">
        <f>VLOOKUP(U290, Lookups!$B$51:$C$57, 2, FALSE)</f>
        <v>Unclassified</v>
      </c>
      <c r="W290">
        <v>0</v>
      </c>
      <c r="X290" t="s">
        <v>362</v>
      </c>
      <c r="Y290">
        <v>6</v>
      </c>
      <c r="Z290" t="str">
        <f>VLOOKUP(Y290, Lookups!$B$14:$C$21, 2, FALSE)</f>
        <v>Single carriageway</v>
      </c>
      <c r="AA290">
        <v>30</v>
      </c>
      <c r="AB290">
        <v>-1</v>
      </c>
      <c r="AC290">
        <v>13</v>
      </c>
      <c r="AD290">
        <v>4</v>
      </c>
      <c r="AE290">
        <v>6</v>
      </c>
      <c r="AF290">
        <v>0</v>
      </c>
      <c r="AG290">
        <v>-1</v>
      </c>
      <c r="AH290">
        <v>-1</v>
      </c>
      <c r="AI290">
        <v>0</v>
      </c>
      <c r="AJ290">
        <v>1</v>
      </c>
      <c r="AK290" t="str">
        <f>VLOOKUP(AJ290, Lookups!$B$23:$C$28, 2, FALSE)</f>
        <v>Daylight</v>
      </c>
      <c r="AL290">
        <v>2</v>
      </c>
      <c r="AM290" t="str">
        <f>VLOOKUP(AL290, Lookups!$B$30:$C$39, 2, FALSE)</f>
        <v>Rain</v>
      </c>
      <c r="AN290">
        <v>2</v>
      </c>
      <c r="AO290" t="str">
        <f>VLOOKUP(AN290, Lookups!$B$41:$C$49, 2, FALSE)</f>
        <v>Wet / damp</v>
      </c>
      <c r="AP290">
        <v>-1</v>
      </c>
      <c r="AQ290">
        <v>-1</v>
      </c>
      <c r="AR290">
        <v>0</v>
      </c>
      <c r="AS290">
        <v>1</v>
      </c>
      <c r="AT290">
        <v>1</v>
      </c>
      <c r="AU290">
        <v>2</v>
      </c>
      <c r="AV290" t="s">
        <v>220</v>
      </c>
      <c r="AW290">
        <v>7</v>
      </c>
      <c r="AX290">
        <v>1</v>
      </c>
      <c r="AY290">
        <v>1</v>
      </c>
      <c r="AZ290">
        <v>0</v>
      </c>
    </row>
    <row r="291" spans="1:52" x14ac:dyDescent="0.35">
      <c r="A291">
        <v>2025221682705</v>
      </c>
      <c r="B291">
        <v>2025</v>
      </c>
      <c r="C291">
        <v>221682705</v>
      </c>
      <c r="D291">
        <v>407849</v>
      </c>
      <c r="E291">
        <v>266972</v>
      </c>
      <c r="F291">
        <v>-1.88632</v>
      </c>
      <c r="G291">
        <v>52.300820000000002</v>
      </c>
      <c r="H291">
        <v>22</v>
      </c>
      <c r="I291">
        <v>1</v>
      </c>
      <c r="J291" t="str">
        <f>VLOOKUP(I291, Lookups!$B$1:$C$4, 2, FALSE)</f>
        <v>Fatal</v>
      </c>
      <c r="K291">
        <v>3</v>
      </c>
      <c r="L291">
        <v>1</v>
      </c>
      <c r="M291" s="1">
        <v>46004</v>
      </c>
      <c r="N291">
        <v>7</v>
      </c>
      <c r="O291" t="str">
        <f>VLOOKUP(N291, Lookups!$B$6:$C$12, 2, FALSE)</f>
        <v>Saturday</v>
      </c>
      <c r="P291" s="2">
        <v>0.82986111111111116</v>
      </c>
      <c r="Q291">
        <v>-1</v>
      </c>
      <c r="R291" t="s">
        <v>69</v>
      </c>
      <c r="S291" t="s">
        <v>45</v>
      </c>
      <c r="T291" t="s">
        <v>45</v>
      </c>
      <c r="U291">
        <v>6</v>
      </c>
      <c r="V291" t="str">
        <f>VLOOKUP(U291, Lookups!$B$51:$C$57, 2, FALSE)</f>
        <v>Unclassified</v>
      </c>
      <c r="W291">
        <v>0</v>
      </c>
      <c r="X291" t="s">
        <v>362</v>
      </c>
      <c r="Y291">
        <v>6</v>
      </c>
      <c r="Z291" t="str">
        <f>VLOOKUP(Y291, Lookups!$B$14:$C$21, 2, FALSE)</f>
        <v>Single carriageway</v>
      </c>
      <c r="AA291">
        <v>30</v>
      </c>
      <c r="AB291">
        <v>-1</v>
      </c>
      <c r="AC291">
        <v>0</v>
      </c>
      <c r="AD291">
        <v>-1</v>
      </c>
      <c r="AE291">
        <v>6</v>
      </c>
      <c r="AF291">
        <v>0</v>
      </c>
      <c r="AG291">
        <v>-1</v>
      </c>
      <c r="AH291">
        <v>-1</v>
      </c>
      <c r="AI291">
        <v>0</v>
      </c>
      <c r="AJ291">
        <v>4</v>
      </c>
      <c r="AK291" t="str">
        <f>VLOOKUP(AJ291, Lookups!$B$23:$C$28, 2, FALSE)</f>
        <v>Darkness (Lit)</v>
      </c>
      <c r="AL291">
        <v>1</v>
      </c>
      <c r="AM291" t="str">
        <f>VLOOKUP(AL291, Lookups!$B$30:$C$39, 2, FALSE)</f>
        <v>Fine / Clear</v>
      </c>
      <c r="AN291">
        <v>2</v>
      </c>
      <c r="AO291" t="str">
        <f>VLOOKUP(AN291, Lookups!$B$41:$C$49, 2, FALSE)</f>
        <v>Wet / damp</v>
      </c>
      <c r="AP291">
        <v>-1</v>
      </c>
      <c r="AQ291">
        <v>-1</v>
      </c>
      <c r="AR291">
        <v>0</v>
      </c>
      <c r="AS291">
        <v>1</v>
      </c>
      <c r="AT291">
        <v>1</v>
      </c>
      <c r="AU291">
        <v>2</v>
      </c>
      <c r="AV291" t="s">
        <v>221</v>
      </c>
      <c r="AW291">
        <v>1</v>
      </c>
      <c r="AX291">
        <v>1</v>
      </c>
      <c r="AY291">
        <v>0</v>
      </c>
      <c r="AZ291">
        <v>0</v>
      </c>
    </row>
    <row r="292" spans="1:52" x14ac:dyDescent="0.35">
      <c r="A292">
        <v>2025221552801</v>
      </c>
      <c r="B292">
        <v>2025</v>
      </c>
      <c r="C292">
        <v>221552801</v>
      </c>
      <c r="D292">
        <v>404290</v>
      </c>
      <c r="E292">
        <v>267501</v>
      </c>
      <c r="F292">
        <v>-1.9384999999999999</v>
      </c>
      <c r="G292">
        <v>52.305610000000001</v>
      </c>
      <c r="H292">
        <v>22</v>
      </c>
      <c r="I292">
        <v>2</v>
      </c>
      <c r="J292" t="str">
        <f>VLOOKUP(I292, Lookups!$B$1:$C$4, 2, FALSE)</f>
        <v>Serious</v>
      </c>
      <c r="K292">
        <v>1</v>
      </c>
      <c r="L292">
        <v>1</v>
      </c>
      <c r="M292" s="1">
        <v>45698</v>
      </c>
      <c r="N292">
        <v>2</v>
      </c>
      <c r="O292" t="str">
        <f>VLOOKUP(N292, Lookups!$B$6:$C$12, 2, FALSE)</f>
        <v>Monday</v>
      </c>
      <c r="P292" s="2">
        <v>0.84513888888888888</v>
      </c>
      <c r="Q292">
        <v>-1</v>
      </c>
      <c r="R292" t="s">
        <v>69</v>
      </c>
      <c r="S292" t="s">
        <v>45</v>
      </c>
      <c r="T292" t="s">
        <v>45</v>
      </c>
      <c r="U292">
        <v>6</v>
      </c>
      <c r="V292" t="str">
        <f>VLOOKUP(U292, Lookups!$B$51:$C$57, 2, FALSE)</f>
        <v>Unclassified</v>
      </c>
      <c r="W292">
        <v>0</v>
      </c>
      <c r="X292" t="s">
        <v>362</v>
      </c>
      <c r="Y292">
        <v>2</v>
      </c>
      <c r="Z292" t="str">
        <f>VLOOKUP(Y292, Lookups!$B$14:$C$21, 2, FALSE)</f>
        <v>One way street</v>
      </c>
      <c r="AA292">
        <v>20</v>
      </c>
      <c r="AB292">
        <v>-1</v>
      </c>
      <c r="AC292">
        <v>0</v>
      </c>
      <c r="AD292">
        <v>-1</v>
      </c>
      <c r="AE292">
        <v>6</v>
      </c>
      <c r="AF292">
        <v>0</v>
      </c>
      <c r="AG292">
        <v>-1</v>
      </c>
      <c r="AH292">
        <v>-1</v>
      </c>
      <c r="AI292">
        <v>0</v>
      </c>
      <c r="AJ292">
        <v>4</v>
      </c>
      <c r="AK292" t="str">
        <f>VLOOKUP(AJ292, Lookups!$B$23:$C$28, 2, FALSE)</f>
        <v>Darkness (Lit)</v>
      </c>
      <c r="AL292">
        <v>2</v>
      </c>
      <c r="AM292" t="str">
        <f>VLOOKUP(AL292, Lookups!$B$30:$C$39, 2, FALSE)</f>
        <v>Rain</v>
      </c>
      <c r="AN292">
        <v>2</v>
      </c>
      <c r="AO292" t="str">
        <f>VLOOKUP(AN292, Lookups!$B$41:$C$49, 2, FALSE)</f>
        <v>Wet / damp</v>
      </c>
      <c r="AP292">
        <v>-1</v>
      </c>
      <c r="AQ292">
        <v>-1</v>
      </c>
      <c r="AR292">
        <v>0</v>
      </c>
      <c r="AS292">
        <v>1</v>
      </c>
      <c r="AT292">
        <v>1</v>
      </c>
      <c r="AU292">
        <v>2</v>
      </c>
      <c r="AV292" t="s">
        <v>222</v>
      </c>
      <c r="AW292">
        <v>6</v>
      </c>
      <c r="AX292">
        <v>1</v>
      </c>
      <c r="AY292">
        <v>1</v>
      </c>
      <c r="AZ292">
        <v>0</v>
      </c>
    </row>
    <row r="293" spans="1:52" x14ac:dyDescent="0.35">
      <c r="A293">
        <v>2025221640821</v>
      </c>
      <c r="B293">
        <v>2025</v>
      </c>
      <c r="C293">
        <v>221640821</v>
      </c>
      <c r="D293">
        <v>396477</v>
      </c>
      <c r="E293">
        <v>273102</v>
      </c>
      <c r="F293">
        <v>-2.05315</v>
      </c>
      <c r="G293">
        <v>52.355969999999999</v>
      </c>
      <c r="H293">
        <v>22</v>
      </c>
      <c r="I293">
        <v>3</v>
      </c>
      <c r="J293" t="str">
        <f>VLOOKUP(I293, Lookups!$B$1:$C$4, 2, FALSE)</f>
        <v>Slight</v>
      </c>
      <c r="K293">
        <v>1</v>
      </c>
      <c r="L293">
        <v>1</v>
      </c>
      <c r="M293" s="1">
        <v>45912</v>
      </c>
      <c r="N293">
        <v>6</v>
      </c>
      <c r="O293" t="str">
        <f>VLOOKUP(N293, Lookups!$B$6:$C$12, 2, FALSE)</f>
        <v>Friday</v>
      </c>
      <c r="P293" s="2">
        <v>0.60486111111111107</v>
      </c>
      <c r="Q293">
        <v>-1</v>
      </c>
      <c r="R293" t="s">
        <v>47</v>
      </c>
      <c r="S293" t="s">
        <v>45</v>
      </c>
      <c r="T293" t="s">
        <v>45</v>
      </c>
      <c r="U293">
        <v>1</v>
      </c>
      <c r="V293" t="str">
        <f>VLOOKUP(U293, Lookups!$B$51:$C$57, 2, FALSE)</f>
        <v>M</v>
      </c>
      <c r="W293">
        <v>42</v>
      </c>
      <c r="X293" t="str">
        <f>V293&amp;W293</f>
        <v>M42</v>
      </c>
      <c r="Y293">
        <v>3</v>
      </c>
      <c r="Z293" t="str">
        <f>VLOOKUP(Y293, Lookups!$B$14:$C$21, 2, FALSE)</f>
        <v>Dual carriageway</v>
      </c>
      <c r="AA293">
        <v>70</v>
      </c>
      <c r="AB293">
        <v>-1</v>
      </c>
      <c r="AC293">
        <v>0</v>
      </c>
      <c r="AD293">
        <v>-1</v>
      </c>
      <c r="AE293">
        <v>0</v>
      </c>
      <c r="AF293">
        <v>-1</v>
      </c>
      <c r="AG293">
        <v>-1</v>
      </c>
      <c r="AH293">
        <v>-1</v>
      </c>
      <c r="AI293">
        <v>0</v>
      </c>
      <c r="AJ293">
        <v>1</v>
      </c>
      <c r="AK293" t="str">
        <f>VLOOKUP(AJ293, Lookups!$B$23:$C$28, 2, FALSE)</f>
        <v>Daylight</v>
      </c>
      <c r="AL293">
        <v>1</v>
      </c>
      <c r="AM293" t="str">
        <f>VLOOKUP(AL293, Lookups!$B$30:$C$39, 2, FALSE)</f>
        <v>Fine / Clear</v>
      </c>
      <c r="AN293">
        <v>2</v>
      </c>
      <c r="AO293" t="str">
        <f>VLOOKUP(AN293, Lookups!$B$41:$C$49, 2, FALSE)</f>
        <v>Wet / damp</v>
      </c>
      <c r="AP293">
        <v>-1</v>
      </c>
      <c r="AQ293">
        <v>-1</v>
      </c>
      <c r="AR293">
        <v>0</v>
      </c>
      <c r="AS293">
        <v>2</v>
      </c>
      <c r="AT293">
        <v>1</v>
      </c>
      <c r="AU293">
        <v>1</v>
      </c>
      <c r="AV293" t="s">
        <v>223</v>
      </c>
      <c r="AW293">
        <v>3</v>
      </c>
      <c r="AX293">
        <v>1</v>
      </c>
      <c r="AY293">
        <v>0</v>
      </c>
      <c r="AZ293">
        <v>1</v>
      </c>
    </row>
    <row r="294" spans="1:52" x14ac:dyDescent="0.35">
      <c r="A294">
        <v>2025221645402</v>
      </c>
      <c r="B294">
        <v>2025</v>
      </c>
      <c r="C294">
        <v>221645402</v>
      </c>
      <c r="D294">
        <v>396164</v>
      </c>
      <c r="E294">
        <v>269423</v>
      </c>
      <c r="F294">
        <v>-2.0577000000000001</v>
      </c>
      <c r="G294">
        <v>52.322890000000001</v>
      </c>
      <c r="H294">
        <v>22</v>
      </c>
      <c r="I294">
        <v>2</v>
      </c>
      <c r="J294" t="str">
        <f>VLOOKUP(I294, Lookups!$B$1:$C$4, 2, FALSE)</f>
        <v>Serious</v>
      </c>
      <c r="K294">
        <v>1</v>
      </c>
      <c r="L294">
        <v>1</v>
      </c>
      <c r="M294" s="1">
        <v>45923</v>
      </c>
      <c r="N294">
        <v>3</v>
      </c>
      <c r="O294" t="str">
        <f>VLOOKUP(N294, Lookups!$B$6:$C$12, 2, FALSE)</f>
        <v>Tuesday</v>
      </c>
      <c r="P294" s="2">
        <v>0.34444444444444444</v>
      </c>
      <c r="Q294">
        <v>-1</v>
      </c>
      <c r="R294" t="s">
        <v>47</v>
      </c>
      <c r="S294" t="s">
        <v>45</v>
      </c>
      <c r="T294" t="s">
        <v>45</v>
      </c>
      <c r="U294">
        <v>6</v>
      </c>
      <c r="V294" t="str">
        <f>VLOOKUP(U294, Lookups!$B$51:$C$57, 2, FALSE)</f>
        <v>Unclassified</v>
      </c>
      <c r="W294">
        <v>0</v>
      </c>
      <c r="X294" t="s">
        <v>362</v>
      </c>
      <c r="Y294">
        <v>6</v>
      </c>
      <c r="Z294" t="str">
        <f>VLOOKUP(Y294, Lookups!$B$14:$C$21, 2, FALSE)</f>
        <v>Single carriageway</v>
      </c>
      <c r="AA294">
        <v>30</v>
      </c>
      <c r="AB294">
        <v>-1</v>
      </c>
      <c r="AC294">
        <v>13</v>
      </c>
      <c r="AD294">
        <v>4</v>
      </c>
      <c r="AE294">
        <v>6</v>
      </c>
      <c r="AF294">
        <v>0</v>
      </c>
      <c r="AG294">
        <v>-1</v>
      </c>
      <c r="AH294">
        <v>-1</v>
      </c>
      <c r="AI294">
        <v>14</v>
      </c>
      <c r="AJ294">
        <v>1</v>
      </c>
      <c r="AK294" t="str">
        <f>VLOOKUP(AJ294, Lookups!$B$23:$C$28, 2, FALSE)</f>
        <v>Daylight</v>
      </c>
      <c r="AL294">
        <v>1</v>
      </c>
      <c r="AM294" t="str">
        <f>VLOOKUP(AL294, Lookups!$B$30:$C$39, 2, FALSE)</f>
        <v>Fine / Clear</v>
      </c>
      <c r="AN294">
        <v>1</v>
      </c>
      <c r="AO294" t="str">
        <f>VLOOKUP(AN294, Lookups!$B$41:$C$49, 2, FALSE)</f>
        <v>Dry</v>
      </c>
      <c r="AP294">
        <v>-1</v>
      </c>
      <c r="AQ294">
        <v>-1</v>
      </c>
      <c r="AR294">
        <v>0</v>
      </c>
      <c r="AS294">
        <v>1</v>
      </c>
      <c r="AT294">
        <v>1</v>
      </c>
      <c r="AU294">
        <v>2</v>
      </c>
      <c r="AV294" t="s">
        <v>194</v>
      </c>
      <c r="AW294">
        <v>7</v>
      </c>
      <c r="AX294">
        <v>1</v>
      </c>
      <c r="AY294">
        <v>1</v>
      </c>
      <c r="AZ294">
        <v>0</v>
      </c>
    </row>
    <row r="295" spans="1:52" x14ac:dyDescent="0.35">
      <c r="A295">
        <v>2025221669438</v>
      </c>
      <c r="B295">
        <v>2025</v>
      </c>
      <c r="C295">
        <v>221669438</v>
      </c>
      <c r="D295">
        <v>372228</v>
      </c>
      <c r="E295">
        <v>251958</v>
      </c>
      <c r="F295">
        <v>-2.4074399999999998</v>
      </c>
      <c r="G295">
        <v>52.165190000000003</v>
      </c>
      <c r="H295">
        <v>22</v>
      </c>
      <c r="I295">
        <v>2</v>
      </c>
      <c r="J295" t="str">
        <f>VLOOKUP(I295, Lookups!$B$1:$C$4, 2, FALSE)</f>
        <v>Serious</v>
      </c>
      <c r="K295">
        <v>1</v>
      </c>
      <c r="L295">
        <v>1</v>
      </c>
      <c r="M295" s="1">
        <v>45978</v>
      </c>
      <c r="N295">
        <v>2</v>
      </c>
      <c r="O295" t="str">
        <f>VLOOKUP(N295, Lookups!$B$6:$C$12, 2, FALSE)</f>
        <v>Monday</v>
      </c>
      <c r="P295" s="2">
        <v>0.17708333333333334</v>
      </c>
      <c r="Q295">
        <v>-1</v>
      </c>
      <c r="R295" t="s">
        <v>49</v>
      </c>
      <c r="S295" t="s">
        <v>45</v>
      </c>
      <c r="T295" t="s">
        <v>45</v>
      </c>
      <c r="U295">
        <v>6</v>
      </c>
      <c r="V295" t="str">
        <f>VLOOKUP(U295, Lookups!$B$51:$C$57, 2, FALSE)</f>
        <v>Unclassified</v>
      </c>
      <c r="W295">
        <v>0</v>
      </c>
      <c r="X295" t="s">
        <v>362</v>
      </c>
      <c r="Y295">
        <v>6</v>
      </c>
      <c r="Z295" t="str">
        <f>VLOOKUP(Y295, Lookups!$B$14:$C$21, 2, FALSE)</f>
        <v>Single carriageway</v>
      </c>
      <c r="AA295">
        <v>60</v>
      </c>
      <c r="AB295">
        <v>-1</v>
      </c>
      <c r="AC295">
        <v>0</v>
      </c>
      <c r="AD295">
        <v>-1</v>
      </c>
      <c r="AE295">
        <v>0</v>
      </c>
      <c r="AF295">
        <v>-1</v>
      </c>
      <c r="AG295">
        <v>-1</v>
      </c>
      <c r="AH295">
        <v>-1</v>
      </c>
      <c r="AI295">
        <v>0</v>
      </c>
      <c r="AJ295">
        <v>6</v>
      </c>
      <c r="AK295" t="str">
        <f>VLOOKUP(AJ295, Lookups!$B$23:$C$28, 2, FALSE)</f>
        <v>Darkness (Unlit)</v>
      </c>
      <c r="AL295">
        <v>1</v>
      </c>
      <c r="AM295" t="str">
        <f>VLOOKUP(AL295, Lookups!$B$30:$C$39, 2, FALSE)</f>
        <v>Fine / Clear</v>
      </c>
      <c r="AN295">
        <v>2</v>
      </c>
      <c r="AO295" t="str">
        <f>VLOOKUP(AN295, Lookups!$B$41:$C$49, 2, FALSE)</f>
        <v>Wet / damp</v>
      </c>
      <c r="AP295">
        <v>-1</v>
      </c>
      <c r="AQ295">
        <v>-1</v>
      </c>
      <c r="AR295">
        <v>0</v>
      </c>
      <c r="AS295">
        <v>2</v>
      </c>
      <c r="AT295">
        <v>1</v>
      </c>
      <c r="AU295">
        <v>2</v>
      </c>
      <c r="AV295" t="s">
        <v>224</v>
      </c>
      <c r="AW295">
        <v>7</v>
      </c>
      <c r="AX295">
        <v>1</v>
      </c>
      <c r="AY295">
        <v>1</v>
      </c>
      <c r="AZ295">
        <v>0</v>
      </c>
    </row>
    <row r="296" spans="1:52" x14ac:dyDescent="0.35">
      <c r="A296">
        <v>2025221578248</v>
      </c>
      <c r="B296">
        <v>2025</v>
      </c>
      <c r="C296">
        <v>221578248</v>
      </c>
      <c r="D296">
        <v>392835</v>
      </c>
      <c r="E296">
        <v>273810</v>
      </c>
      <c r="F296">
        <v>-2.1066400000000001</v>
      </c>
      <c r="G296">
        <v>52.362299999999998</v>
      </c>
      <c r="H296">
        <v>22</v>
      </c>
      <c r="I296">
        <v>3</v>
      </c>
      <c r="J296" t="str">
        <f>VLOOKUP(I296, Lookups!$B$1:$C$4, 2, FALSE)</f>
        <v>Slight</v>
      </c>
      <c r="K296">
        <v>1</v>
      </c>
      <c r="L296">
        <v>3</v>
      </c>
      <c r="M296" s="1">
        <v>45746</v>
      </c>
      <c r="N296">
        <v>1</v>
      </c>
      <c r="O296" t="str">
        <f>VLOOKUP(N296, Lookups!$B$6:$C$12, 2, FALSE)</f>
        <v>Sunday</v>
      </c>
      <c r="P296" s="2">
        <v>0.12430555555555556</v>
      </c>
      <c r="Q296">
        <v>-1</v>
      </c>
      <c r="R296" t="s">
        <v>47</v>
      </c>
      <c r="S296" t="s">
        <v>45</v>
      </c>
      <c r="T296" t="s">
        <v>45</v>
      </c>
      <c r="U296">
        <v>6</v>
      </c>
      <c r="V296" t="str">
        <f>VLOOKUP(U296, Lookups!$B$51:$C$57, 2, FALSE)</f>
        <v>Unclassified</v>
      </c>
      <c r="W296">
        <v>0</v>
      </c>
      <c r="X296" t="s">
        <v>362</v>
      </c>
      <c r="Y296">
        <v>6</v>
      </c>
      <c r="Z296" t="str">
        <f>VLOOKUP(Y296, Lookups!$B$14:$C$21, 2, FALSE)</f>
        <v>Single carriageway</v>
      </c>
      <c r="AA296">
        <v>60</v>
      </c>
      <c r="AB296">
        <v>-1</v>
      </c>
      <c r="AC296">
        <v>0</v>
      </c>
      <c r="AD296">
        <v>-1</v>
      </c>
      <c r="AE296">
        <v>6</v>
      </c>
      <c r="AF296">
        <v>0</v>
      </c>
      <c r="AG296">
        <v>-1</v>
      </c>
      <c r="AH296">
        <v>-1</v>
      </c>
      <c r="AI296">
        <v>0</v>
      </c>
      <c r="AJ296">
        <v>6</v>
      </c>
      <c r="AK296" t="str">
        <f>VLOOKUP(AJ296, Lookups!$B$23:$C$28, 2, FALSE)</f>
        <v>Darkness (Unlit)</v>
      </c>
      <c r="AL296">
        <v>1</v>
      </c>
      <c r="AM296" t="str">
        <f>VLOOKUP(AL296, Lookups!$B$30:$C$39, 2, FALSE)</f>
        <v>Fine / Clear</v>
      </c>
      <c r="AN296">
        <v>2</v>
      </c>
      <c r="AO296" t="str">
        <f>VLOOKUP(AN296, Lookups!$B$41:$C$49, 2, FALSE)</f>
        <v>Wet / damp</v>
      </c>
      <c r="AP296">
        <v>-1</v>
      </c>
      <c r="AQ296">
        <v>-1</v>
      </c>
      <c r="AR296">
        <v>0</v>
      </c>
      <c r="AS296">
        <v>2</v>
      </c>
      <c r="AT296">
        <v>1</v>
      </c>
      <c r="AU296">
        <v>2</v>
      </c>
      <c r="AV296" t="s">
        <v>125</v>
      </c>
      <c r="AW296">
        <v>3</v>
      </c>
      <c r="AX296">
        <v>1</v>
      </c>
      <c r="AY296">
        <v>0</v>
      </c>
      <c r="AZ296">
        <v>1</v>
      </c>
    </row>
    <row r="297" spans="1:52" x14ac:dyDescent="0.35">
      <c r="A297">
        <v>2025221594399</v>
      </c>
      <c r="B297">
        <v>2025</v>
      </c>
      <c r="C297">
        <v>221594399</v>
      </c>
      <c r="D297">
        <v>399115</v>
      </c>
      <c r="E297">
        <v>251913</v>
      </c>
      <c r="F297">
        <v>-2.0143599999999999</v>
      </c>
      <c r="G297">
        <v>52.165480000000002</v>
      </c>
      <c r="H297">
        <v>22</v>
      </c>
      <c r="I297">
        <v>2</v>
      </c>
      <c r="J297" t="str">
        <f>VLOOKUP(I297, Lookups!$B$1:$C$4, 2, FALSE)</f>
        <v>Serious</v>
      </c>
      <c r="K297">
        <v>1</v>
      </c>
      <c r="L297">
        <v>1</v>
      </c>
      <c r="M297" s="1">
        <v>45801</v>
      </c>
      <c r="N297">
        <v>7</v>
      </c>
      <c r="O297" t="str">
        <f>VLOOKUP(N297, Lookups!$B$6:$C$12, 2, FALSE)</f>
        <v>Saturday</v>
      </c>
      <c r="P297" s="2">
        <v>0.9375</v>
      </c>
      <c r="Q297">
        <v>-1</v>
      </c>
      <c r="R297" t="s">
        <v>54</v>
      </c>
      <c r="S297" t="s">
        <v>45</v>
      </c>
      <c r="T297" t="s">
        <v>45</v>
      </c>
      <c r="U297">
        <v>6</v>
      </c>
      <c r="V297" t="str">
        <f>VLOOKUP(U297, Lookups!$B$51:$C$57, 2, FALSE)</f>
        <v>Unclassified</v>
      </c>
      <c r="W297">
        <v>0</v>
      </c>
      <c r="X297" t="s">
        <v>362</v>
      </c>
      <c r="Y297">
        <v>6</v>
      </c>
      <c r="Z297" t="str">
        <f>VLOOKUP(Y297, Lookups!$B$14:$C$21, 2, FALSE)</f>
        <v>Single carriageway</v>
      </c>
      <c r="AA297">
        <v>60</v>
      </c>
      <c r="AB297">
        <v>-1</v>
      </c>
      <c r="AC297">
        <v>0</v>
      </c>
      <c r="AD297">
        <v>-1</v>
      </c>
      <c r="AE297">
        <v>6</v>
      </c>
      <c r="AF297">
        <v>0</v>
      </c>
      <c r="AG297">
        <v>-1</v>
      </c>
      <c r="AH297">
        <v>-1</v>
      </c>
      <c r="AI297">
        <v>0</v>
      </c>
      <c r="AJ297">
        <v>6</v>
      </c>
      <c r="AK297" t="str">
        <f>VLOOKUP(AJ297, Lookups!$B$23:$C$28, 2, FALSE)</f>
        <v>Darkness (Unlit)</v>
      </c>
      <c r="AL297">
        <v>2</v>
      </c>
      <c r="AM297" t="str">
        <f>VLOOKUP(AL297, Lookups!$B$30:$C$39, 2, FALSE)</f>
        <v>Rain</v>
      </c>
      <c r="AN297">
        <v>2</v>
      </c>
      <c r="AO297" t="str">
        <f>VLOOKUP(AN297, Lookups!$B$41:$C$49, 2, FALSE)</f>
        <v>Wet / damp</v>
      </c>
      <c r="AP297">
        <v>-1</v>
      </c>
      <c r="AQ297">
        <v>-1</v>
      </c>
      <c r="AR297">
        <v>0</v>
      </c>
      <c r="AS297">
        <v>2</v>
      </c>
      <c r="AT297">
        <v>1</v>
      </c>
      <c r="AU297">
        <v>2</v>
      </c>
      <c r="AV297" t="s">
        <v>150</v>
      </c>
      <c r="AW297">
        <v>7</v>
      </c>
      <c r="AX297">
        <v>1</v>
      </c>
      <c r="AY297">
        <v>1</v>
      </c>
      <c r="AZ297">
        <v>0</v>
      </c>
    </row>
    <row r="298" spans="1:52" x14ac:dyDescent="0.35">
      <c r="A298">
        <v>2025221613474</v>
      </c>
      <c r="B298">
        <v>2025</v>
      </c>
      <c r="C298">
        <v>221613474</v>
      </c>
      <c r="D298">
        <v>406539</v>
      </c>
      <c r="E298">
        <v>266928</v>
      </c>
      <c r="F298">
        <v>-1.9055299999999999</v>
      </c>
      <c r="G298">
        <v>52.300440000000002</v>
      </c>
      <c r="H298">
        <v>22</v>
      </c>
      <c r="I298">
        <v>1</v>
      </c>
      <c r="J298" t="str">
        <f>VLOOKUP(I298, Lookups!$B$1:$C$4, 2, FALSE)</f>
        <v>Fatal</v>
      </c>
      <c r="K298">
        <v>3</v>
      </c>
      <c r="L298">
        <v>1</v>
      </c>
      <c r="M298" s="1">
        <v>45846</v>
      </c>
      <c r="N298">
        <v>3</v>
      </c>
      <c r="O298" t="str">
        <f>VLOOKUP(N298, Lookups!$B$6:$C$12, 2, FALSE)</f>
        <v>Tuesday</v>
      </c>
      <c r="P298" s="2">
        <v>0.54166666666666663</v>
      </c>
      <c r="Q298">
        <v>-1</v>
      </c>
      <c r="R298" t="s">
        <v>69</v>
      </c>
      <c r="S298" t="s">
        <v>45</v>
      </c>
      <c r="T298" t="s">
        <v>45</v>
      </c>
      <c r="U298">
        <v>3</v>
      </c>
      <c r="V298" t="str">
        <f>VLOOKUP(U298, Lookups!$B$51:$C$57, 2, FALSE)</f>
        <v>A</v>
      </c>
      <c r="W298">
        <v>4189</v>
      </c>
      <c r="X298" t="str">
        <f>V298&amp;W298</f>
        <v>A4189</v>
      </c>
      <c r="Y298">
        <v>3</v>
      </c>
      <c r="Z298" t="str">
        <f>VLOOKUP(Y298, Lookups!$B$14:$C$21, 2, FALSE)</f>
        <v>Dual carriageway</v>
      </c>
      <c r="AA298">
        <v>60</v>
      </c>
      <c r="AB298">
        <v>-1</v>
      </c>
      <c r="AC298">
        <v>0</v>
      </c>
      <c r="AD298">
        <v>-1</v>
      </c>
      <c r="AE298">
        <v>0</v>
      </c>
      <c r="AF298">
        <v>-1</v>
      </c>
      <c r="AG298">
        <v>-1</v>
      </c>
      <c r="AH298">
        <v>-1</v>
      </c>
      <c r="AI298">
        <v>0</v>
      </c>
      <c r="AJ298">
        <v>1</v>
      </c>
      <c r="AK298" t="str">
        <f>VLOOKUP(AJ298, Lookups!$B$23:$C$28, 2, FALSE)</f>
        <v>Daylight</v>
      </c>
      <c r="AL298">
        <v>1</v>
      </c>
      <c r="AM298" t="str">
        <f>VLOOKUP(AL298, Lookups!$B$30:$C$39, 2, FALSE)</f>
        <v>Fine / Clear</v>
      </c>
      <c r="AN298">
        <v>1</v>
      </c>
      <c r="AO298" t="str">
        <f>VLOOKUP(AN298, Lookups!$B$41:$C$49, 2, FALSE)</f>
        <v>Dry</v>
      </c>
      <c r="AP298">
        <v>-1</v>
      </c>
      <c r="AQ298">
        <v>-1</v>
      </c>
      <c r="AR298">
        <v>0</v>
      </c>
      <c r="AS298">
        <v>2</v>
      </c>
      <c r="AT298">
        <v>1</v>
      </c>
      <c r="AU298">
        <v>2</v>
      </c>
      <c r="AV298" t="s">
        <v>225</v>
      </c>
      <c r="AW298">
        <v>1</v>
      </c>
      <c r="AX298">
        <v>1</v>
      </c>
      <c r="AY298">
        <v>0</v>
      </c>
      <c r="AZ298">
        <v>0</v>
      </c>
    </row>
    <row r="299" spans="1:52" x14ac:dyDescent="0.35">
      <c r="A299">
        <v>2025221614138</v>
      </c>
      <c r="B299">
        <v>2025</v>
      </c>
      <c r="C299">
        <v>221614138</v>
      </c>
      <c r="D299">
        <v>405003</v>
      </c>
      <c r="E299">
        <v>264871</v>
      </c>
      <c r="F299">
        <v>-1.9280900000000001</v>
      </c>
      <c r="G299">
        <v>52.281959999999998</v>
      </c>
      <c r="H299">
        <v>22</v>
      </c>
      <c r="I299">
        <v>3</v>
      </c>
      <c r="J299" t="str">
        <f>VLOOKUP(I299, Lookups!$B$1:$C$4, 2, FALSE)</f>
        <v>Slight</v>
      </c>
      <c r="K299">
        <v>2</v>
      </c>
      <c r="L299">
        <v>1</v>
      </c>
      <c r="M299" s="1">
        <v>45848</v>
      </c>
      <c r="N299">
        <v>5</v>
      </c>
      <c r="O299" t="str">
        <f>VLOOKUP(N299, Lookups!$B$6:$C$12, 2, FALSE)</f>
        <v>Thursday</v>
      </c>
      <c r="P299" s="2">
        <v>0.3923611111111111</v>
      </c>
      <c r="Q299">
        <v>-1</v>
      </c>
      <c r="R299" t="s">
        <v>69</v>
      </c>
      <c r="S299" t="s">
        <v>45</v>
      </c>
      <c r="T299" t="s">
        <v>45</v>
      </c>
      <c r="U299">
        <v>6</v>
      </c>
      <c r="V299" t="str">
        <f>VLOOKUP(U299, Lookups!$B$51:$C$57, 2, FALSE)</f>
        <v>Unclassified</v>
      </c>
      <c r="W299">
        <v>0</v>
      </c>
      <c r="X299" t="s">
        <v>362</v>
      </c>
      <c r="Y299">
        <v>1</v>
      </c>
      <c r="Z299" t="str">
        <f>VLOOKUP(Y299, Lookups!$B$14:$C$21, 2, FALSE)</f>
        <v>Roundabout</v>
      </c>
      <c r="AA299">
        <v>40</v>
      </c>
      <c r="AB299">
        <v>-1</v>
      </c>
      <c r="AC299">
        <v>-1</v>
      </c>
      <c r="AD299">
        <v>4</v>
      </c>
      <c r="AE299">
        <v>6</v>
      </c>
      <c r="AF299">
        <v>0</v>
      </c>
      <c r="AG299">
        <v>-1</v>
      </c>
      <c r="AH299">
        <v>-1</v>
      </c>
      <c r="AI299">
        <v>0</v>
      </c>
      <c r="AJ299">
        <v>1</v>
      </c>
      <c r="AK299" t="str">
        <f>VLOOKUP(AJ299, Lookups!$B$23:$C$28, 2, FALSE)</f>
        <v>Daylight</v>
      </c>
      <c r="AL299">
        <v>1</v>
      </c>
      <c r="AM299" t="str">
        <f>VLOOKUP(AL299, Lookups!$B$30:$C$39, 2, FALSE)</f>
        <v>Fine / Clear</v>
      </c>
      <c r="AN299">
        <v>1</v>
      </c>
      <c r="AO299" t="str">
        <f>VLOOKUP(AN299, Lookups!$B$41:$C$49, 2, FALSE)</f>
        <v>Dry</v>
      </c>
      <c r="AP299">
        <v>-1</v>
      </c>
      <c r="AQ299">
        <v>-1</v>
      </c>
      <c r="AR299">
        <v>0</v>
      </c>
      <c r="AS299">
        <v>2</v>
      </c>
      <c r="AT299">
        <v>3</v>
      </c>
      <c r="AU299">
        <v>2</v>
      </c>
      <c r="AV299" t="s">
        <v>156</v>
      </c>
      <c r="AW299">
        <v>3</v>
      </c>
      <c r="AX299">
        <v>1</v>
      </c>
      <c r="AY299">
        <v>0</v>
      </c>
      <c r="AZ299">
        <v>1</v>
      </c>
    </row>
    <row r="300" spans="1:52" x14ac:dyDescent="0.35">
      <c r="A300">
        <v>2025221667075</v>
      </c>
      <c r="B300">
        <v>2025</v>
      </c>
      <c r="C300">
        <v>221667075</v>
      </c>
      <c r="D300">
        <v>381534</v>
      </c>
      <c r="E300">
        <v>279712</v>
      </c>
      <c r="F300">
        <v>-2.2729200000000001</v>
      </c>
      <c r="G300">
        <v>52.415089999999999</v>
      </c>
      <c r="H300">
        <v>22</v>
      </c>
      <c r="I300">
        <v>2</v>
      </c>
      <c r="J300" t="str">
        <f>VLOOKUP(I300, Lookups!$B$1:$C$4, 2, FALSE)</f>
        <v>Serious</v>
      </c>
      <c r="K300">
        <v>2</v>
      </c>
      <c r="L300">
        <v>2</v>
      </c>
      <c r="M300" s="1">
        <v>45973</v>
      </c>
      <c r="N300">
        <v>4</v>
      </c>
      <c r="O300" t="str">
        <f>VLOOKUP(N300, Lookups!$B$6:$C$12, 2, FALSE)</f>
        <v>Wednesday</v>
      </c>
      <c r="P300" s="2">
        <v>4.3749999999999997E-2</v>
      </c>
      <c r="Q300">
        <v>-1</v>
      </c>
      <c r="R300" t="s">
        <v>44</v>
      </c>
      <c r="S300" t="s">
        <v>45</v>
      </c>
      <c r="T300" t="s">
        <v>45</v>
      </c>
      <c r="U300">
        <v>4</v>
      </c>
      <c r="V300" t="str">
        <f>VLOOKUP(U300, Lookups!$B$51:$C$57, 2, FALSE)</f>
        <v>B</v>
      </c>
      <c r="W300">
        <v>4189</v>
      </c>
      <c r="X300" t="str">
        <f>V300&amp;W300</f>
        <v>B4189</v>
      </c>
      <c r="Y300">
        <v>6</v>
      </c>
      <c r="Z300" t="str">
        <f>VLOOKUP(Y300, Lookups!$B$14:$C$21, 2, FALSE)</f>
        <v>Single carriageway</v>
      </c>
      <c r="AA300">
        <v>40</v>
      </c>
      <c r="AB300">
        <v>-1</v>
      </c>
      <c r="AC300">
        <v>0</v>
      </c>
      <c r="AD300">
        <v>-1</v>
      </c>
      <c r="AE300">
        <v>0</v>
      </c>
      <c r="AF300">
        <v>-1</v>
      </c>
      <c r="AG300">
        <v>-1</v>
      </c>
      <c r="AH300">
        <v>-1</v>
      </c>
      <c r="AI300">
        <v>0</v>
      </c>
      <c r="AJ300">
        <v>6</v>
      </c>
      <c r="AK300" t="str">
        <f>VLOOKUP(AJ300, Lookups!$B$23:$C$28, 2, FALSE)</f>
        <v>Darkness (Unlit)</v>
      </c>
      <c r="AL300">
        <v>5</v>
      </c>
      <c r="AM300" t="str">
        <f>VLOOKUP(AL300, Lookups!$B$30:$C$39, 2, FALSE)</f>
        <v>Rain &amp; High Winds</v>
      </c>
      <c r="AN300">
        <v>5</v>
      </c>
      <c r="AO300" t="str">
        <f>VLOOKUP(AN300, Lookups!$B$41:$C$49, 2, FALSE)</f>
        <v>Flood over 3cm</v>
      </c>
      <c r="AP300">
        <v>-1</v>
      </c>
      <c r="AQ300">
        <v>-1</v>
      </c>
      <c r="AR300">
        <v>0</v>
      </c>
      <c r="AS300">
        <v>2</v>
      </c>
      <c r="AT300">
        <v>3</v>
      </c>
      <c r="AU300">
        <v>2</v>
      </c>
      <c r="AV300" t="s">
        <v>175</v>
      </c>
      <c r="AW300">
        <v>7</v>
      </c>
      <c r="AX300">
        <v>1</v>
      </c>
      <c r="AY300">
        <v>1</v>
      </c>
      <c r="AZ300">
        <v>0</v>
      </c>
    </row>
    <row r="301" spans="1:52" x14ac:dyDescent="0.35">
      <c r="A301">
        <v>2025221691475</v>
      </c>
      <c r="B301">
        <v>2025</v>
      </c>
      <c r="C301">
        <v>221691475</v>
      </c>
      <c r="D301">
        <v>403673</v>
      </c>
      <c r="E301">
        <v>266957</v>
      </c>
      <c r="F301">
        <v>-1.94756</v>
      </c>
      <c r="G301">
        <v>52.300719999999998</v>
      </c>
      <c r="H301">
        <v>22</v>
      </c>
      <c r="I301">
        <v>3</v>
      </c>
      <c r="J301" t="str">
        <f>VLOOKUP(I301, Lookups!$B$1:$C$4, 2, FALSE)</f>
        <v>Slight</v>
      </c>
      <c r="K301">
        <v>2</v>
      </c>
      <c r="L301">
        <v>1</v>
      </c>
      <c r="M301" s="1">
        <v>46015</v>
      </c>
      <c r="N301">
        <v>4</v>
      </c>
      <c r="O301" t="str">
        <f>VLOOKUP(N301, Lookups!$B$6:$C$12, 2, FALSE)</f>
        <v>Wednesday</v>
      </c>
      <c r="P301" s="2">
        <v>0.68194444444444446</v>
      </c>
      <c r="Q301">
        <v>-1</v>
      </c>
      <c r="R301" t="s">
        <v>69</v>
      </c>
      <c r="S301" t="s">
        <v>45</v>
      </c>
      <c r="T301" t="s">
        <v>45</v>
      </c>
      <c r="U301">
        <v>6</v>
      </c>
      <c r="V301" t="str">
        <f>VLOOKUP(U301, Lookups!$B$51:$C$57, 2, FALSE)</f>
        <v>Unclassified</v>
      </c>
      <c r="W301">
        <v>0</v>
      </c>
      <c r="X301" t="s">
        <v>362</v>
      </c>
      <c r="Y301">
        <v>6</v>
      </c>
      <c r="Z301" t="str">
        <f>VLOOKUP(Y301, Lookups!$B$14:$C$21, 2, FALSE)</f>
        <v>Single carriageway</v>
      </c>
      <c r="AA301">
        <v>30</v>
      </c>
      <c r="AB301">
        <v>-1</v>
      </c>
      <c r="AC301">
        <v>13</v>
      </c>
      <c r="AD301">
        <v>4</v>
      </c>
      <c r="AE301">
        <v>6</v>
      </c>
      <c r="AF301">
        <v>0</v>
      </c>
      <c r="AG301">
        <v>-1</v>
      </c>
      <c r="AH301">
        <v>-1</v>
      </c>
      <c r="AI301">
        <v>0</v>
      </c>
      <c r="AJ301">
        <v>4</v>
      </c>
      <c r="AK301" t="str">
        <f>VLOOKUP(AJ301, Lookups!$B$23:$C$28, 2, FALSE)</f>
        <v>Darkness (Lit)</v>
      </c>
      <c r="AL301">
        <v>1</v>
      </c>
      <c r="AM301" t="str">
        <f>VLOOKUP(AL301, Lookups!$B$30:$C$39, 2, FALSE)</f>
        <v>Fine / Clear</v>
      </c>
      <c r="AN301">
        <v>1</v>
      </c>
      <c r="AO301" t="str">
        <f>VLOOKUP(AN301, Lookups!$B$41:$C$49, 2, FALSE)</f>
        <v>Dry</v>
      </c>
      <c r="AP301">
        <v>-1</v>
      </c>
      <c r="AQ301">
        <v>-1</v>
      </c>
      <c r="AR301">
        <v>0</v>
      </c>
      <c r="AS301">
        <v>1</v>
      </c>
      <c r="AT301">
        <v>1</v>
      </c>
      <c r="AU301">
        <v>2</v>
      </c>
      <c r="AV301" t="s">
        <v>226</v>
      </c>
      <c r="AW301">
        <v>3</v>
      </c>
      <c r="AX301">
        <v>1</v>
      </c>
      <c r="AY301">
        <v>0</v>
      </c>
      <c r="AZ301">
        <v>1</v>
      </c>
    </row>
    <row r="302" spans="1:52" x14ac:dyDescent="0.35">
      <c r="A302">
        <v>2025221547808</v>
      </c>
      <c r="B302">
        <v>2025</v>
      </c>
      <c r="C302">
        <v>221547808</v>
      </c>
      <c r="D302">
        <v>395871</v>
      </c>
      <c r="E302">
        <v>269574</v>
      </c>
      <c r="F302">
        <v>-2.0619999999999998</v>
      </c>
      <c r="G302">
        <v>52.324249999999999</v>
      </c>
      <c r="H302">
        <v>22</v>
      </c>
      <c r="I302">
        <v>3</v>
      </c>
      <c r="J302" t="str">
        <f>VLOOKUP(I302, Lookups!$B$1:$C$4, 2, FALSE)</f>
        <v>Slight</v>
      </c>
      <c r="K302">
        <v>1</v>
      </c>
      <c r="L302">
        <v>1</v>
      </c>
      <c r="M302" s="1">
        <v>45680</v>
      </c>
      <c r="N302">
        <v>5</v>
      </c>
      <c r="O302" t="str">
        <f>VLOOKUP(N302, Lookups!$B$6:$C$12, 2, FALSE)</f>
        <v>Thursday</v>
      </c>
      <c r="P302" s="2">
        <v>0.6479166666666667</v>
      </c>
      <c r="Q302">
        <v>-1</v>
      </c>
      <c r="R302" t="s">
        <v>47</v>
      </c>
      <c r="S302" t="s">
        <v>45</v>
      </c>
      <c r="T302" t="s">
        <v>45</v>
      </c>
      <c r="U302">
        <v>6</v>
      </c>
      <c r="V302" t="str">
        <f>VLOOKUP(U302, Lookups!$B$51:$C$57, 2, FALSE)</f>
        <v>Unclassified</v>
      </c>
      <c r="W302">
        <v>0</v>
      </c>
      <c r="X302" t="s">
        <v>362</v>
      </c>
      <c r="Y302">
        <v>6</v>
      </c>
      <c r="Z302" t="str">
        <f>VLOOKUP(Y302, Lookups!$B$14:$C$21, 2, FALSE)</f>
        <v>Single carriageway</v>
      </c>
      <c r="AA302">
        <v>30</v>
      </c>
      <c r="AB302">
        <v>-1</v>
      </c>
      <c r="AC302">
        <v>0</v>
      </c>
      <c r="AD302">
        <v>-1</v>
      </c>
      <c r="AE302">
        <v>6</v>
      </c>
      <c r="AF302">
        <v>0</v>
      </c>
      <c r="AG302">
        <v>-1</v>
      </c>
      <c r="AH302">
        <v>-1</v>
      </c>
      <c r="AI302">
        <v>13</v>
      </c>
      <c r="AJ302">
        <v>1</v>
      </c>
      <c r="AK302" t="str">
        <f>VLOOKUP(AJ302, Lookups!$B$23:$C$28, 2, FALSE)</f>
        <v>Daylight</v>
      </c>
      <c r="AL302">
        <v>1</v>
      </c>
      <c r="AM302" t="str">
        <f>VLOOKUP(AL302, Lookups!$B$30:$C$39, 2, FALSE)</f>
        <v>Fine / Clear</v>
      </c>
      <c r="AN302">
        <v>1</v>
      </c>
      <c r="AO302" t="str">
        <f>VLOOKUP(AN302, Lookups!$B$41:$C$49, 2, FALSE)</f>
        <v>Dry</v>
      </c>
      <c r="AP302">
        <v>-1</v>
      </c>
      <c r="AQ302">
        <v>-1</v>
      </c>
      <c r="AR302">
        <v>0</v>
      </c>
      <c r="AS302">
        <v>1</v>
      </c>
      <c r="AT302">
        <v>1</v>
      </c>
      <c r="AU302">
        <v>2</v>
      </c>
      <c r="AV302" t="s">
        <v>133</v>
      </c>
      <c r="AW302">
        <v>3</v>
      </c>
      <c r="AX302">
        <v>1</v>
      </c>
      <c r="AY302">
        <v>0</v>
      </c>
      <c r="AZ302">
        <v>1</v>
      </c>
    </row>
    <row r="303" spans="1:52" x14ac:dyDescent="0.35">
      <c r="A303">
        <v>2025221655198</v>
      </c>
      <c r="B303">
        <v>2025</v>
      </c>
      <c r="C303">
        <v>221655198</v>
      </c>
      <c r="D303">
        <v>386364</v>
      </c>
      <c r="E303">
        <v>253914</v>
      </c>
      <c r="F303">
        <v>-2.20086</v>
      </c>
      <c r="G303">
        <v>52.183300000000003</v>
      </c>
      <c r="H303">
        <v>22</v>
      </c>
      <c r="I303">
        <v>3</v>
      </c>
      <c r="J303" t="str">
        <f>VLOOKUP(I303, Lookups!$B$1:$C$4, 2, FALSE)</f>
        <v>Slight</v>
      </c>
      <c r="K303">
        <v>2</v>
      </c>
      <c r="L303">
        <v>1</v>
      </c>
      <c r="M303" s="1">
        <v>45946</v>
      </c>
      <c r="N303">
        <v>5</v>
      </c>
      <c r="O303" t="str">
        <f>VLOOKUP(N303, Lookups!$B$6:$C$12, 2, FALSE)</f>
        <v>Thursday</v>
      </c>
      <c r="P303" s="2">
        <v>0.27777777777777779</v>
      </c>
      <c r="Q303">
        <v>-1</v>
      </c>
      <c r="R303" t="s">
        <v>60</v>
      </c>
      <c r="S303" t="s">
        <v>45</v>
      </c>
      <c r="T303" t="s">
        <v>45</v>
      </c>
      <c r="U303">
        <v>3</v>
      </c>
      <c r="V303" t="str">
        <f>VLOOKUP(U303, Lookups!$B$51:$C$57, 2, FALSE)</f>
        <v>A</v>
      </c>
      <c r="W303">
        <v>44</v>
      </c>
      <c r="X303" t="str">
        <f t="shared" ref="X303:X306" si="40">V303&amp;W303</f>
        <v>A44</v>
      </c>
      <c r="Y303">
        <v>6</v>
      </c>
      <c r="Z303" t="str">
        <f>VLOOKUP(Y303, Lookups!$B$14:$C$21, 2, FALSE)</f>
        <v>Single carriageway</v>
      </c>
      <c r="AA303">
        <v>30</v>
      </c>
      <c r="AB303">
        <v>-1</v>
      </c>
      <c r="AC303">
        <v>16</v>
      </c>
      <c r="AD303">
        <v>4</v>
      </c>
      <c r="AE303">
        <v>6</v>
      </c>
      <c r="AF303">
        <v>0</v>
      </c>
      <c r="AG303">
        <v>-1</v>
      </c>
      <c r="AH303">
        <v>-1</v>
      </c>
      <c r="AI303">
        <v>0</v>
      </c>
      <c r="AJ303">
        <v>5</v>
      </c>
      <c r="AK303" t="str">
        <f>VLOOKUP(AJ303, Lookups!$B$23:$C$28, 2, FALSE)</f>
        <v>Darkness (Unlit)</v>
      </c>
      <c r="AL303">
        <v>1</v>
      </c>
      <c r="AM303" t="str">
        <f>VLOOKUP(AL303, Lookups!$B$30:$C$39, 2, FALSE)</f>
        <v>Fine / Clear</v>
      </c>
      <c r="AN303">
        <v>1</v>
      </c>
      <c r="AO303" t="str">
        <f>VLOOKUP(AN303, Lookups!$B$41:$C$49, 2, FALSE)</f>
        <v>Dry</v>
      </c>
      <c r="AP303">
        <v>-1</v>
      </c>
      <c r="AQ303">
        <v>-1</v>
      </c>
      <c r="AR303">
        <v>0</v>
      </c>
      <c r="AS303">
        <v>1</v>
      </c>
      <c r="AT303">
        <v>3</v>
      </c>
      <c r="AU303">
        <v>2</v>
      </c>
      <c r="AV303" t="s">
        <v>227</v>
      </c>
      <c r="AW303">
        <v>3</v>
      </c>
      <c r="AX303">
        <v>1</v>
      </c>
      <c r="AY303">
        <v>0</v>
      </c>
      <c r="AZ303">
        <v>1</v>
      </c>
    </row>
    <row r="304" spans="1:52" x14ac:dyDescent="0.35">
      <c r="A304">
        <v>2025221581553</v>
      </c>
      <c r="B304">
        <v>2025</v>
      </c>
      <c r="C304">
        <v>221581553</v>
      </c>
      <c r="D304">
        <v>403077</v>
      </c>
      <c r="E304">
        <v>239979</v>
      </c>
      <c r="F304">
        <v>-1.9565300000000001</v>
      </c>
      <c r="G304">
        <v>52.05818</v>
      </c>
      <c r="H304">
        <v>22</v>
      </c>
      <c r="I304">
        <v>2</v>
      </c>
      <c r="J304" t="str">
        <f>VLOOKUP(I304, Lookups!$B$1:$C$4, 2, FALSE)</f>
        <v>Serious</v>
      </c>
      <c r="K304">
        <v>2</v>
      </c>
      <c r="L304">
        <v>1</v>
      </c>
      <c r="M304" s="1">
        <v>45771</v>
      </c>
      <c r="N304">
        <v>5</v>
      </c>
      <c r="O304" t="str">
        <f>VLOOKUP(N304, Lookups!$B$6:$C$12, 2, FALSE)</f>
        <v>Thursday</v>
      </c>
      <c r="P304" s="2">
        <v>0.52638888888888891</v>
      </c>
      <c r="Q304">
        <v>-1</v>
      </c>
      <c r="R304" t="s">
        <v>54</v>
      </c>
      <c r="S304" t="s">
        <v>45</v>
      </c>
      <c r="T304" t="s">
        <v>45</v>
      </c>
      <c r="U304">
        <v>3</v>
      </c>
      <c r="V304" t="str">
        <f>VLOOKUP(U304, Lookups!$B$51:$C$57, 2, FALSE)</f>
        <v>A</v>
      </c>
      <c r="W304">
        <v>46</v>
      </c>
      <c r="X304" t="str">
        <f t="shared" si="40"/>
        <v>A46</v>
      </c>
      <c r="Y304">
        <v>6</v>
      </c>
      <c r="Z304" t="str">
        <f>VLOOKUP(Y304, Lookups!$B$14:$C$21, 2, FALSE)</f>
        <v>Single carriageway</v>
      </c>
      <c r="AA304">
        <v>40</v>
      </c>
      <c r="AB304">
        <v>-1</v>
      </c>
      <c r="AC304">
        <v>13</v>
      </c>
      <c r="AD304">
        <v>4</v>
      </c>
      <c r="AE304">
        <v>6</v>
      </c>
      <c r="AF304">
        <v>0</v>
      </c>
      <c r="AG304">
        <v>-1</v>
      </c>
      <c r="AH304">
        <v>-1</v>
      </c>
      <c r="AI304">
        <v>0</v>
      </c>
      <c r="AJ304">
        <v>1</v>
      </c>
      <c r="AK304" t="str">
        <f>VLOOKUP(AJ304, Lookups!$B$23:$C$28, 2, FALSE)</f>
        <v>Daylight</v>
      </c>
      <c r="AL304">
        <v>1</v>
      </c>
      <c r="AM304" t="str">
        <f>VLOOKUP(AL304, Lookups!$B$30:$C$39, 2, FALSE)</f>
        <v>Fine / Clear</v>
      </c>
      <c r="AN304">
        <v>1</v>
      </c>
      <c r="AO304" t="str">
        <f>VLOOKUP(AN304, Lookups!$B$41:$C$49, 2, FALSE)</f>
        <v>Dry</v>
      </c>
      <c r="AP304">
        <v>-1</v>
      </c>
      <c r="AQ304">
        <v>-1</v>
      </c>
      <c r="AR304">
        <v>0</v>
      </c>
      <c r="AS304">
        <v>2</v>
      </c>
      <c r="AT304">
        <v>1</v>
      </c>
      <c r="AU304">
        <v>1</v>
      </c>
      <c r="AV304" t="s">
        <v>134</v>
      </c>
      <c r="AW304">
        <v>6</v>
      </c>
      <c r="AX304">
        <v>1</v>
      </c>
      <c r="AY304">
        <v>1</v>
      </c>
      <c r="AZ304">
        <v>0</v>
      </c>
    </row>
    <row r="305" spans="1:52" x14ac:dyDescent="0.35">
      <c r="A305">
        <v>2025221592964</v>
      </c>
      <c r="B305">
        <v>2025</v>
      </c>
      <c r="C305">
        <v>221592964</v>
      </c>
      <c r="D305">
        <v>384502</v>
      </c>
      <c r="E305">
        <v>272230</v>
      </c>
      <c r="F305">
        <v>-2.2289400000000001</v>
      </c>
      <c r="G305">
        <v>52.347920000000002</v>
      </c>
      <c r="H305">
        <v>22</v>
      </c>
      <c r="I305">
        <v>2</v>
      </c>
      <c r="J305" t="str">
        <f>VLOOKUP(I305, Lookups!$B$1:$C$4, 2, FALSE)</f>
        <v>Serious</v>
      </c>
      <c r="K305">
        <v>1</v>
      </c>
      <c r="L305">
        <v>1</v>
      </c>
      <c r="M305" s="1">
        <v>45797</v>
      </c>
      <c r="N305">
        <v>3</v>
      </c>
      <c r="O305" t="str">
        <f>VLOOKUP(N305, Lookups!$B$6:$C$12, 2, FALSE)</f>
        <v>Tuesday</v>
      </c>
      <c r="P305" s="2">
        <v>0.73958333333333337</v>
      </c>
      <c r="Q305">
        <v>-1</v>
      </c>
      <c r="R305" t="s">
        <v>54</v>
      </c>
      <c r="S305" t="s">
        <v>45</v>
      </c>
      <c r="T305" t="s">
        <v>45</v>
      </c>
      <c r="U305">
        <v>3</v>
      </c>
      <c r="V305" t="str">
        <f>VLOOKUP(U305, Lookups!$B$51:$C$57, 2, FALSE)</f>
        <v>A</v>
      </c>
      <c r="W305">
        <v>449</v>
      </c>
      <c r="X305" t="str">
        <f t="shared" si="40"/>
        <v>A449</v>
      </c>
      <c r="Y305">
        <v>6</v>
      </c>
      <c r="Z305" t="str">
        <f>VLOOKUP(Y305, Lookups!$B$14:$C$21, 2, FALSE)</f>
        <v>Single carriageway</v>
      </c>
      <c r="AA305">
        <v>40</v>
      </c>
      <c r="AB305">
        <v>-1</v>
      </c>
      <c r="AC305">
        <v>0</v>
      </c>
      <c r="AD305">
        <v>-1</v>
      </c>
      <c r="AE305">
        <v>6</v>
      </c>
      <c r="AF305">
        <v>0</v>
      </c>
      <c r="AG305">
        <v>-1</v>
      </c>
      <c r="AH305">
        <v>-1</v>
      </c>
      <c r="AI305">
        <v>0</v>
      </c>
      <c r="AJ305">
        <v>1</v>
      </c>
      <c r="AK305" t="str">
        <f>VLOOKUP(AJ305, Lookups!$B$23:$C$28, 2, FALSE)</f>
        <v>Daylight</v>
      </c>
      <c r="AL305">
        <v>1</v>
      </c>
      <c r="AM305" t="str">
        <f>VLOOKUP(AL305, Lookups!$B$30:$C$39, 2, FALSE)</f>
        <v>Fine / Clear</v>
      </c>
      <c r="AN305">
        <v>1</v>
      </c>
      <c r="AO305" t="str">
        <f>VLOOKUP(AN305, Lookups!$B$41:$C$49, 2, FALSE)</f>
        <v>Dry</v>
      </c>
      <c r="AP305">
        <v>-1</v>
      </c>
      <c r="AQ305">
        <v>-1</v>
      </c>
      <c r="AR305">
        <v>0</v>
      </c>
      <c r="AS305">
        <v>2</v>
      </c>
      <c r="AT305">
        <v>1</v>
      </c>
      <c r="AU305">
        <v>2</v>
      </c>
      <c r="AV305" t="s">
        <v>228</v>
      </c>
      <c r="AW305">
        <v>6</v>
      </c>
      <c r="AX305">
        <v>1</v>
      </c>
      <c r="AY305">
        <v>1</v>
      </c>
      <c r="AZ305">
        <v>0</v>
      </c>
    </row>
    <row r="306" spans="1:52" x14ac:dyDescent="0.35">
      <c r="A306">
        <v>2025221630214</v>
      </c>
      <c r="B306">
        <v>2025</v>
      </c>
      <c r="C306">
        <v>221630214</v>
      </c>
      <c r="D306">
        <v>382314</v>
      </c>
      <c r="E306">
        <v>274976</v>
      </c>
      <c r="F306">
        <v>-2.2612000000000001</v>
      </c>
      <c r="G306">
        <v>52.372540000000001</v>
      </c>
      <c r="H306">
        <v>22</v>
      </c>
      <c r="I306">
        <v>3</v>
      </c>
      <c r="J306" t="str">
        <f>VLOOKUP(I306, Lookups!$B$1:$C$4, 2, FALSE)</f>
        <v>Slight</v>
      </c>
      <c r="K306">
        <v>2</v>
      </c>
      <c r="L306">
        <v>1</v>
      </c>
      <c r="M306" s="1">
        <v>45887</v>
      </c>
      <c r="N306">
        <v>2</v>
      </c>
      <c r="O306" t="str">
        <f>VLOOKUP(N306, Lookups!$B$6:$C$12, 2, FALSE)</f>
        <v>Monday</v>
      </c>
      <c r="P306" s="2">
        <v>0.33750000000000002</v>
      </c>
      <c r="Q306">
        <v>-1</v>
      </c>
      <c r="R306" t="s">
        <v>44</v>
      </c>
      <c r="S306" t="s">
        <v>45</v>
      </c>
      <c r="T306" t="s">
        <v>45</v>
      </c>
      <c r="U306">
        <v>3</v>
      </c>
      <c r="V306" t="str">
        <f>VLOOKUP(U306, Lookups!$B$51:$C$57, 2, FALSE)</f>
        <v>A</v>
      </c>
      <c r="W306">
        <v>451</v>
      </c>
      <c r="X306" t="str">
        <f t="shared" si="40"/>
        <v>A451</v>
      </c>
      <c r="Y306">
        <v>6</v>
      </c>
      <c r="Z306" t="str">
        <f>VLOOKUP(Y306, Lookups!$B$14:$C$21, 2, FALSE)</f>
        <v>Single carriageway</v>
      </c>
      <c r="AA306">
        <v>30</v>
      </c>
      <c r="AB306">
        <v>-1</v>
      </c>
      <c r="AC306">
        <v>13</v>
      </c>
      <c r="AD306">
        <v>4</v>
      </c>
      <c r="AE306">
        <v>6</v>
      </c>
      <c r="AF306">
        <v>0</v>
      </c>
      <c r="AG306">
        <v>-1</v>
      </c>
      <c r="AH306">
        <v>-1</v>
      </c>
      <c r="AI306">
        <v>0</v>
      </c>
      <c r="AJ306">
        <v>1</v>
      </c>
      <c r="AK306" t="str">
        <f>VLOOKUP(AJ306, Lookups!$B$23:$C$28, 2, FALSE)</f>
        <v>Daylight</v>
      </c>
      <c r="AL306">
        <v>1</v>
      </c>
      <c r="AM306" t="str">
        <f>VLOOKUP(AL306, Lookups!$B$30:$C$39, 2, FALSE)</f>
        <v>Fine / Clear</v>
      </c>
      <c r="AN306">
        <v>1</v>
      </c>
      <c r="AO306" t="str">
        <f>VLOOKUP(AN306, Lookups!$B$41:$C$49, 2, FALSE)</f>
        <v>Dry</v>
      </c>
      <c r="AP306">
        <v>-1</v>
      </c>
      <c r="AQ306">
        <v>-1</v>
      </c>
      <c r="AR306">
        <v>0</v>
      </c>
      <c r="AS306">
        <v>1</v>
      </c>
      <c r="AT306">
        <v>3</v>
      </c>
      <c r="AU306">
        <v>2</v>
      </c>
      <c r="AV306" t="s">
        <v>59</v>
      </c>
      <c r="AW306">
        <v>3</v>
      </c>
      <c r="AX306">
        <v>1</v>
      </c>
      <c r="AY306">
        <v>0</v>
      </c>
      <c r="AZ306">
        <v>1</v>
      </c>
    </row>
    <row r="307" spans="1:52" x14ac:dyDescent="0.35">
      <c r="A307">
        <v>2025221639438</v>
      </c>
      <c r="B307">
        <v>2025</v>
      </c>
      <c r="C307">
        <v>221639438</v>
      </c>
      <c r="D307">
        <v>403559</v>
      </c>
      <c r="E307">
        <v>239990</v>
      </c>
      <c r="F307">
        <v>-1.9495</v>
      </c>
      <c r="G307">
        <v>52.058280000000003</v>
      </c>
      <c r="H307">
        <v>22</v>
      </c>
      <c r="I307">
        <v>2</v>
      </c>
      <c r="J307" t="str">
        <f>VLOOKUP(I307, Lookups!$B$1:$C$4, 2, FALSE)</f>
        <v>Serious</v>
      </c>
      <c r="K307">
        <v>2</v>
      </c>
      <c r="L307">
        <v>1</v>
      </c>
      <c r="M307" s="1">
        <v>45909</v>
      </c>
      <c r="N307">
        <v>3</v>
      </c>
      <c r="O307" t="str">
        <f>VLOOKUP(N307, Lookups!$B$6:$C$12, 2, FALSE)</f>
        <v>Tuesday</v>
      </c>
      <c r="P307" s="2">
        <v>0.76458333333333328</v>
      </c>
      <c r="Q307">
        <v>-1</v>
      </c>
      <c r="R307" t="s">
        <v>54</v>
      </c>
      <c r="S307" t="s">
        <v>45</v>
      </c>
      <c r="T307" t="s">
        <v>45</v>
      </c>
      <c r="U307">
        <v>6</v>
      </c>
      <c r="V307" t="str">
        <f>VLOOKUP(U307, Lookups!$B$51:$C$57, 2, FALSE)</f>
        <v>Unclassified</v>
      </c>
      <c r="W307">
        <v>0</v>
      </c>
      <c r="X307" t="s">
        <v>362</v>
      </c>
      <c r="Y307">
        <v>6</v>
      </c>
      <c r="Z307" t="str">
        <f>VLOOKUP(Y307, Lookups!$B$14:$C$21, 2, FALSE)</f>
        <v>Single carriageway</v>
      </c>
      <c r="AA307">
        <v>60</v>
      </c>
      <c r="AB307">
        <v>-1</v>
      </c>
      <c r="AC307">
        <v>0</v>
      </c>
      <c r="AD307">
        <v>-1</v>
      </c>
      <c r="AE307">
        <v>0</v>
      </c>
      <c r="AF307">
        <v>-1</v>
      </c>
      <c r="AG307">
        <v>-1</v>
      </c>
      <c r="AH307">
        <v>-1</v>
      </c>
      <c r="AI307">
        <v>0</v>
      </c>
      <c r="AJ307">
        <v>1</v>
      </c>
      <c r="AK307" t="str">
        <f>VLOOKUP(AJ307, Lookups!$B$23:$C$28, 2, FALSE)</f>
        <v>Daylight</v>
      </c>
      <c r="AL307">
        <v>1</v>
      </c>
      <c r="AM307" t="str">
        <f>VLOOKUP(AL307, Lookups!$B$30:$C$39, 2, FALSE)</f>
        <v>Fine / Clear</v>
      </c>
      <c r="AN307">
        <v>1</v>
      </c>
      <c r="AO307" t="str">
        <f>VLOOKUP(AN307, Lookups!$B$41:$C$49, 2, FALSE)</f>
        <v>Dry</v>
      </c>
      <c r="AP307">
        <v>-1</v>
      </c>
      <c r="AQ307">
        <v>-1</v>
      </c>
      <c r="AR307">
        <v>0</v>
      </c>
      <c r="AS307">
        <v>2</v>
      </c>
      <c r="AT307">
        <v>1</v>
      </c>
      <c r="AU307">
        <v>2</v>
      </c>
      <c r="AV307" t="s">
        <v>134</v>
      </c>
      <c r="AW307">
        <v>7</v>
      </c>
      <c r="AX307">
        <v>1</v>
      </c>
      <c r="AY307">
        <v>1</v>
      </c>
      <c r="AZ307">
        <v>0</v>
      </c>
    </row>
    <row r="308" spans="1:52" x14ac:dyDescent="0.35">
      <c r="A308">
        <v>2025221662627</v>
      </c>
      <c r="B308">
        <v>2025</v>
      </c>
      <c r="C308">
        <v>221662627</v>
      </c>
      <c r="D308">
        <v>399340</v>
      </c>
      <c r="E308">
        <v>270320</v>
      </c>
      <c r="F308">
        <v>-2.01111</v>
      </c>
      <c r="G308">
        <v>52.330970000000001</v>
      </c>
      <c r="H308">
        <v>22</v>
      </c>
      <c r="I308">
        <v>3</v>
      </c>
      <c r="J308" t="str">
        <f>VLOOKUP(I308, Lookups!$B$1:$C$4, 2, FALSE)</f>
        <v>Slight</v>
      </c>
      <c r="K308">
        <v>2</v>
      </c>
      <c r="L308">
        <v>1</v>
      </c>
      <c r="M308" s="1">
        <v>45963</v>
      </c>
      <c r="N308">
        <v>1</v>
      </c>
      <c r="O308" t="str">
        <f>VLOOKUP(N308, Lookups!$B$6:$C$12, 2, FALSE)</f>
        <v>Sunday</v>
      </c>
      <c r="P308" s="2">
        <v>0.6875</v>
      </c>
      <c r="Q308">
        <v>-1</v>
      </c>
      <c r="R308" t="s">
        <v>47</v>
      </c>
      <c r="S308" t="s">
        <v>45</v>
      </c>
      <c r="T308" t="s">
        <v>45</v>
      </c>
      <c r="U308">
        <v>4</v>
      </c>
      <c r="V308" t="str">
        <f>VLOOKUP(U308, Lookups!$B$51:$C$57, 2, FALSE)</f>
        <v>B</v>
      </c>
      <c r="W308">
        <v>4096</v>
      </c>
      <c r="X308" t="str">
        <f t="shared" ref="X308:X319" si="41">V308&amp;W308</f>
        <v>B4096</v>
      </c>
      <c r="Y308">
        <v>6</v>
      </c>
      <c r="Z308" t="str">
        <f>VLOOKUP(Y308, Lookups!$B$14:$C$21, 2, FALSE)</f>
        <v>Single carriageway</v>
      </c>
      <c r="AA308">
        <v>60</v>
      </c>
      <c r="AB308">
        <v>-1</v>
      </c>
      <c r="AC308">
        <v>16</v>
      </c>
      <c r="AD308">
        <v>4</v>
      </c>
      <c r="AE308">
        <v>6</v>
      </c>
      <c r="AF308">
        <v>0</v>
      </c>
      <c r="AG308">
        <v>-1</v>
      </c>
      <c r="AH308">
        <v>-1</v>
      </c>
      <c r="AI308">
        <v>0</v>
      </c>
      <c r="AJ308">
        <v>1</v>
      </c>
      <c r="AK308" t="str">
        <f>VLOOKUP(AJ308, Lookups!$B$23:$C$28, 2, FALSE)</f>
        <v>Daylight</v>
      </c>
      <c r="AL308">
        <v>1</v>
      </c>
      <c r="AM308" t="str">
        <f>VLOOKUP(AL308, Lookups!$B$30:$C$39, 2, FALSE)</f>
        <v>Fine / Clear</v>
      </c>
      <c r="AN308">
        <v>1</v>
      </c>
      <c r="AO308" t="str">
        <f>VLOOKUP(AN308, Lookups!$B$41:$C$49, 2, FALSE)</f>
        <v>Dry</v>
      </c>
      <c r="AP308">
        <v>-1</v>
      </c>
      <c r="AQ308">
        <v>-1</v>
      </c>
      <c r="AR308">
        <v>0</v>
      </c>
      <c r="AS308">
        <v>2</v>
      </c>
      <c r="AT308">
        <v>1</v>
      </c>
      <c r="AU308">
        <v>2</v>
      </c>
      <c r="AV308" t="s">
        <v>56</v>
      </c>
      <c r="AW308">
        <v>3</v>
      </c>
      <c r="AX308">
        <v>1</v>
      </c>
      <c r="AY308">
        <v>0</v>
      </c>
      <c r="AZ308">
        <v>1</v>
      </c>
    </row>
    <row r="309" spans="1:52" x14ac:dyDescent="0.35">
      <c r="A309">
        <v>2025221547312</v>
      </c>
      <c r="B309">
        <v>2025</v>
      </c>
      <c r="C309">
        <v>221547312</v>
      </c>
      <c r="D309">
        <v>388325</v>
      </c>
      <c r="E309">
        <v>275987</v>
      </c>
      <c r="F309">
        <v>-2.1729500000000002</v>
      </c>
      <c r="G309">
        <v>52.381790000000002</v>
      </c>
      <c r="H309">
        <v>22</v>
      </c>
      <c r="I309">
        <v>2</v>
      </c>
      <c r="J309" t="str">
        <f>VLOOKUP(I309, Lookups!$B$1:$C$4, 2, FALSE)</f>
        <v>Serious</v>
      </c>
      <c r="K309">
        <v>2</v>
      </c>
      <c r="L309">
        <v>2</v>
      </c>
      <c r="M309" s="1">
        <v>45677</v>
      </c>
      <c r="N309">
        <v>2</v>
      </c>
      <c r="O309" t="str">
        <f>VLOOKUP(N309, Lookups!$B$6:$C$12, 2, FALSE)</f>
        <v>Monday</v>
      </c>
      <c r="P309" s="2">
        <v>0.92847222222222225</v>
      </c>
      <c r="Q309">
        <v>-1</v>
      </c>
      <c r="R309" t="s">
        <v>44</v>
      </c>
      <c r="S309" t="s">
        <v>45</v>
      </c>
      <c r="T309" t="s">
        <v>45</v>
      </c>
      <c r="U309">
        <v>3</v>
      </c>
      <c r="V309" t="str">
        <f>VLOOKUP(U309, Lookups!$B$51:$C$57, 2, FALSE)</f>
        <v>A</v>
      </c>
      <c r="W309">
        <v>450</v>
      </c>
      <c r="X309" t="str">
        <f t="shared" si="41"/>
        <v>A450</v>
      </c>
      <c r="Y309">
        <v>6</v>
      </c>
      <c r="Z309" t="str">
        <f>VLOOKUP(Y309, Lookups!$B$14:$C$21, 2, FALSE)</f>
        <v>Single carriageway</v>
      </c>
      <c r="AA309">
        <v>50</v>
      </c>
      <c r="AB309">
        <v>-1</v>
      </c>
      <c r="AC309">
        <v>16</v>
      </c>
      <c r="AD309">
        <v>4</v>
      </c>
      <c r="AE309">
        <v>6</v>
      </c>
      <c r="AF309">
        <v>0</v>
      </c>
      <c r="AG309">
        <v>-1</v>
      </c>
      <c r="AH309">
        <v>-1</v>
      </c>
      <c r="AI309">
        <v>0</v>
      </c>
      <c r="AJ309">
        <v>6</v>
      </c>
      <c r="AK309" t="str">
        <f>VLOOKUP(AJ309, Lookups!$B$23:$C$28, 2, FALSE)</f>
        <v>Darkness (Unlit)</v>
      </c>
      <c r="AL309">
        <v>1</v>
      </c>
      <c r="AM309" t="str">
        <f>VLOOKUP(AL309, Lookups!$B$30:$C$39, 2, FALSE)</f>
        <v>Fine / Clear</v>
      </c>
      <c r="AN309">
        <v>2</v>
      </c>
      <c r="AO309" t="str">
        <f>VLOOKUP(AN309, Lookups!$B$41:$C$49, 2, FALSE)</f>
        <v>Wet / damp</v>
      </c>
      <c r="AP309">
        <v>-1</v>
      </c>
      <c r="AQ309">
        <v>-1</v>
      </c>
      <c r="AR309">
        <v>0</v>
      </c>
      <c r="AS309">
        <v>2</v>
      </c>
      <c r="AT309">
        <v>1</v>
      </c>
      <c r="AU309">
        <v>2</v>
      </c>
      <c r="AV309" t="s">
        <v>229</v>
      </c>
      <c r="AW309">
        <v>7</v>
      </c>
      <c r="AX309">
        <v>1</v>
      </c>
      <c r="AY309">
        <v>1</v>
      </c>
      <c r="AZ309">
        <v>0</v>
      </c>
    </row>
    <row r="310" spans="1:52" x14ac:dyDescent="0.35">
      <c r="A310">
        <v>2025221626434</v>
      </c>
      <c r="B310">
        <v>2025</v>
      </c>
      <c r="C310">
        <v>221626434</v>
      </c>
      <c r="D310">
        <v>401113</v>
      </c>
      <c r="E310">
        <v>247404</v>
      </c>
      <c r="F310">
        <v>-1.98516</v>
      </c>
      <c r="G310">
        <v>52.124949999999998</v>
      </c>
      <c r="H310">
        <v>22</v>
      </c>
      <c r="I310">
        <v>2</v>
      </c>
      <c r="J310" t="str">
        <f>VLOOKUP(I310, Lookups!$B$1:$C$4, 2, FALSE)</f>
        <v>Serious</v>
      </c>
      <c r="K310">
        <v>2</v>
      </c>
      <c r="L310">
        <v>1</v>
      </c>
      <c r="M310" s="1">
        <v>45877</v>
      </c>
      <c r="N310">
        <v>6</v>
      </c>
      <c r="O310" t="str">
        <f>VLOOKUP(N310, Lookups!$B$6:$C$12, 2, FALSE)</f>
        <v>Friday</v>
      </c>
      <c r="P310" s="2">
        <v>0.60555555555555551</v>
      </c>
      <c r="Q310">
        <v>-1</v>
      </c>
      <c r="R310" t="s">
        <v>54</v>
      </c>
      <c r="S310" t="s">
        <v>45</v>
      </c>
      <c r="T310" t="s">
        <v>45</v>
      </c>
      <c r="U310">
        <v>3</v>
      </c>
      <c r="V310" t="str">
        <f>VLOOKUP(U310, Lookups!$B$51:$C$57, 2, FALSE)</f>
        <v>A</v>
      </c>
      <c r="W310">
        <v>44</v>
      </c>
      <c r="X310" t="str">
        <f t="shared" si="41"/>
        <v>A44</v>
      </c>
      <c r="Y310">
        <v>6</v>
      </c>
      <c r="Z310" t="str">
        <f>VLOOKUP(Y310, Lookups!$B$14:$C$21, 2, FALSE)</f>
        <v>Single carriageway</v>
      </c>
      <c r="AA310">
        <v>50</v>
      </c>
      <c r="AB310">
        <v>-1</v>
      </c>
      <c r="AC310">
        <v>19</v>
      </c>
      <c r="AD310">
        <v>4</v>
      </c>
      <c r="AE310">
        <v>6</v>
      </c>
      <c r="AF310">
        <v>0</v>
      </c>
      <c r="AG310">
        <v>-1</v>
      </c>
      <c r="AH310">
        <v>-1</v>
      </c>
      <c r="AI310">
        <v>0</v>
      </c>
      <c r="AJ310">
        <v>1</v>
      </c>
      <c r="AK310" t="str">
        <f>VLOOKUP(AJ310, Lookups!$B$23:$C$28, 2, FALSE)</f>
        <v>Daylight</v>
      </c>
      <c r="AL310">
        <v>1</v>
      </c>
      <c r="AM310" t="str">
        <f>VLOOKUP(AL310, Lookups!$B$30:$C$39, 2, FALSE)</f>
        <v>Fine / Clear</v>
      </c>
      <c r="AN310">
        <v>1</v>
      </c>
      <c r="AO310" t="str">
        <f>VLOOKUP(AN310, Lookups!$B$41:$C$49, 2, FALSE)</f>
        <v>Dry</v>
      </c>
      <c r="AP310">
        <v>-1</v>
      </c>
      <c r="AQ310">
        <v>-1</v>
      </c>
      <c r="AR310">
        <v>0</v>
      </c>
      <c r="AS310">
        <v>2</v>
      </c>
      <c r="AT310">
        <v>1</v>
      </c>
      <c r="AU310">
        <v>2</v>
      </c>
      <c r="AV310" t="s">
        <v>108</v>
      </c>
      <c r="AW310">
        <v>6</v>
      </c>
      <c r="AX310">
        <v>1</v>
      </c>
      <c r="AY310">
        <v>1</v>
      </c>
      <c r="AZ310">
        <v>0</v>
      </c>
    </row>
    <row r="311" spans="1:52" x14ac:dyDescent="0.35">
      <c r="A311">
        <v>2025221689118</v>
      </c>
      <c r="B311">
        <v>2025</v>
      </c>
      <c r="C311">
        <v>221689118</v>
      </c>
      <c r="D311">
        <v>387960</v>
      </c>
      <c r="E311">
        <v>254959</v>
      </c>
      <c r="F311">
        <v>-2.1775500000000001</v>
      </c>
      <c r="G311">
        <v>52.192740000000001</v>
      </c>
      <c r="H311">
        <v>22</v>
      </c>
      <c r="I311">
        <v>3</v>
      </c>
      <c r="J311" t="str">
        <f>VLOOKUP(I311, Lookups!$B$1:$C$4, 2, FALSE)</f>
        <v>Slight</v>
      </c>
      <c r="K311">
        <v>2</v>
      </c>
      <c r="L311">
        <v>1</v>
      </c>
      <c r="M311" s="1">
        <v>46013</v>
      </c>
      <c r="N311">
        <v>2</v>
      </c>
      <c r="O311" t="str">
        <f>VLOOKUP(N311, Lookups!$B$6:$C$12, 2, FALSE)</f>
        <v>Monday</v>
      </c>
      <c r="P311" s="2">
        <v>0.70972222222222225</v>
      </c>
      <c r="Q311">
        <v>-1</v>
      </c>
      <c r="R311" t="s">
        <v>60</v>
      </c>
      <c r="S311" t="s">
        <v>45</v>
      </c>
      <c r="T311" t="s">
        <v>45</v>
      </c>
      <c r="U311">
        <v>4</v>
      </c>
      <c r="V311" t="str">
        <f>VLOOKUP(U311, Lookups!$B$51:$C$57, 2, FALSE)</f>
        <v>B</v>
      </c>
      <c r="W311">
        <v>4636</v>
      </c>
      <c r="X311" t="str">
        <f t="shared" si="41"/>
        <v>B4636</v>
      </c>
      <c r="Y311">
        <v>1</v>
      </c>
      <c r="Z311" t="str">
        <f>VLOOKUP(Y311, Lookups!$B$14:$C$21, 2, FALSE)</f>
        <v>Roundabout</v>
      </c>
      <c r="AA311">
        <v>30</v>
      </c>
      <c r="AB311">
        <v>-1</v>
      </c>
      <c r="AC311">
        <v>-1</v>
      </c>
      <c r="AD311">
        <v>4</v>
      </c>
      <c r="AE311">
        <v>4</v>
      </c>
      <c r="AF311">
        <v>4638</v>
      </c>
      <c r="AG311">
        <v>-1</v>
      </c>
      <c r="AH311">
        <v>-1</v>
      </c>
      <c r="AI311">
        <v>0</v>
      </c>
      <c r="AJ311">
        <v>4</v>
      </c>
      <c r="AK311" t="str">
        <f>VLOOKUP(AJ311, Lookups!$B$23:$C$28, 2, FALSE)</f>
        <v>Darkness (Lit)</v>
      </c>
      <c r="AL311">
        <v>1</v>
      </c>
      <c r="AM311" t="str">
        <f>VLOOKUP(AL311, Lookups!$B$30:$C$39, 2, FALSE)</f>
        <v>Fine / Clear</v>
      </c>
      <c r="AN311">
        <v>2</v>
      </c>
      <c r="AO311" t="str">
        <f>VLOOKUP(AN311, Lookups!$B$41:$C$49, 2, FALSE)</f>
        <v>Wet / damp</v>
      </c>
      <c r="AP311">
        <v>-1</v>
      </c>
      <c r="AQ311">
        <v>-1</v>
      </c>
      <c r="AR311">
        <v>0</v>
      </c>
      <c r="AS311">
        <v>2</v>
      </c>
      <c r="AT311">
        <v>2</v>
      </c>
      <c r="AU311">
        <v>2</v>
      </c>
      <c r="AV311" t="s">
        <v>75</v>
      </c>
      <c r="AW311">
        <v>3</v>
      </c>
      <c r="AX311">
        <v>1</v>
      </c>
      <c r="AY311">
        <v>0</v>
      </c>
      <c r="AZ311">
        <v>1</v>
      </c>
    </row>
    <row r="312" spans="1:52" x14ac:dyDescent="0.35">
      <c r="A312">
        <v>2025221543125</v>
      </c>
      <c r="B312">
        <v>2025</v>
      </c>
      <c r="C312">
        <v>221543125</v>
      </c>
      <c r="D312">
        <v>394903</v>
      </c>
      <c r="E312">
        <v>272101</v>
      </c>
      <c r="F312">
        <v>-2.0762499999999999</v>
      </c>
      <c r="G312">
        <v>52.346960000000003</v>
      </c>
      <c r="H312">
        <v>22</v>
      </c>
      <c r="I312">
        <v>3</v>
      </c>
      <c r="J312" t="str">
        <f>VLOOKUP(I312, Lookups!$B$1:$C$4, 2, FALSE)</f>
        <v>Slight</v>
      </c>
      <c r="K312">
        <v>2</v>
      </c>
      <c r="L312">
        <v>1</v>
      </c>
      <c r="M312" s="1">
        <v>45674</v>
      </c>
      <c r="N312">
        <v>6</v>
      </c>
      <c r="O312" t="str">
        <f>VLOOKUP(N312, Lookups!$B$6:$C$12, 2, FALSE)</f>
        <v>Friday</v>
      </c>
      <c r="P312" s="2">
        <v>0.56597222222222221</v>
      </c>
      <c r="Q312">
        <v>-1</v>
      </c>
      <c r="R312" t="s">
        <v>47</v>
      </c>
      <c r="S312" t="s">
        <v>45</v>
      </c>
      <c r="T312" t="s">
        <v>45</v>
      </c>
      <c r="U312">
        <v>1</v>
      </c>
      <c r="V312" t="str">
        <f>VLOOKUP(U312, Lookups!$B$51:$C$57, 2, FALSE)</f>
        <v>M</v>
      </c>
      <c r="W312">
        <v>5</v>
      </c>
      <c r="X312" t="str">
        <f t="shared" si="41"/>
        <v>M5</v>
      </c>
      <c r="Y312">
        <v>3</v>
      </c>
      <c r="Z312" t="str">
        <f>VLOOKUP(Y312, Lookups!$B$14:$C$21, 2, FALSE)</f>
        <v>Dual carriageway</v>
      </c>
      <c r="AA312">
        <v>70</v>
      </c>
      <c r="AB312">
        <v>-1</v>
      </c>
      <c r="AC312">
        <v>0</v>
      </c>
      <c r="AD312">
        <v>-1</v>
      </c>
      <c r="AE312">
        <v>1</v>
      </c>
      <c r="AF312">
        <v>42</v>
      </c>
      <c r="AG312">
        <v>-1</v>
      </c>
      <c r="AH312">
        <v>-1</v>
      </c>
      <c r="AI312">
        <v>0</v>
      </c>
      <c r="AJ312">
        <v>1</v>
      </c>
      <c r="AK312" t="str">
        <f>VLOOKUP(AJ312, Lookups!$B$23:$C$28, 2, FALSE)</f>
        <v>Daylight</v>
      </c>
      <c r="AL312">
        <v>1</v>
      </c>
      <c r="AM312" t="str">
        <f>VLOOKUP(AL312, Lookups!$B$30:$C$39, 2, FALSE)</f>
        <v>Fine / Clear</v>
      </c>
      <c r="AN312">
        <v>1</v>
      </c>
      <c r="AO312" t="str">
        <f>VLOOKUP(AN312, Lookups!$B$41:$C$49, 2, FALSE)</f>
        <v>Dry</v>
      </c>
      <c r="AP312">
        <v>-1</v>
      </c>
      <c r="AQ312">
        <v>-1</v>
      </c>
      <c r="AR312">
        <v>0</v>
      </c>
      <c r="AS312">
        <v>2</v>
      </c>
      <c r="AT312">
        <v>1</v>
      </c>
      <c r="AU312">
        <v>1</v>
      </c>
      <c r="AV312" t="s">
        <v>125</v>
      </c>
      <c r="AW312">
        <v>3</v>
      </c>
      <c r="AX312">
        <v>1</v>
      </c>
      <c r="AY312">
        <v>0</v>
      </c>
      <c r="AZ312">
        <v>1</v>
      </c>
    </row>
    <row r="313" spans="1:52" x14ac:dyDescent="0.35">
      <c r="A313">
        <v>2025221567501</v>
      </c>
      <c r="B313">
        <v>2025</v>
      </c>
      <c r="C313">
        <v>221567501</v>
      </c>
      <c r="D313">
        <v>381580</v>
      </c>
      <c r="E313">
        <v>251000</v>
      </c>
      <c r="F313">
        <v>-2.27067</v>
      </c>
      <c r="G313">
        <v>52.156970000000001</v>
      </c>
      <c r="H313">
        <v>22</v>
      </c>
      <c r="I313">
        <v>2</v>
      </c>
      <c r="J313" t="str">
        <f>VLOOKUP(I313, Lookups!$B$1:$C$4, 2, FALSE)</f>
        <v>Serious</v>
      </c>
      <c r="K313">
        <v>2</v>
      </c>
      <c r="L313">
        <v>1</v>
      </c>
      <c r="M313" s="1">
        <v>45736</v>
      </c>
      <c r="N313">
        <v>5</v>
      </c>
      <c r="O313" t="str">
        <f>VLOOKUP(N313, Lookups!$B$6:$C$12, 2, FALSE)</f>
        <v>Thursday</v>
      </c>
      <c r="P313" s="2">
        <v>0.66666666666666663</v>
      </c>
      <c r="Q313">
        <v>-1</v>
      </c>
      <c r="R313" t="s">
        <v>49</v>
      </c>
      <c r="S313" t="s">
        <v>45</v>
      </c>
      <c r="T313" t="s">
        <v>45</v>
      </c>
      <c r="U313">
        <v>3</v>
      </c>
      <c r="V313" t="str">
        <f>VLOOKUP(U313, Lookups!$B$51:$C$57, 2, FALSE)</f>
        <v>A</v>
      </c>
      <c r="W313">
        <v>449</v>
      </c>
      <c r="X313" t="str">
        <f t="shared" si="41"/>
        <v>A449</v>
      </c>
      <c r="Y313">
        <v>6</v>
      </c>
      <c r="Z313" t="str">
        <f>VLOOKUP(Y313, Lookups!$B$14:$C$21, 2, FALSE)</f>
        <v>Single carriageway</v>
      </c>
      <c r="AA313">
        <v>40</v>
      </c>
      <c r="AB313">
        <v>-1</v>
      </c>
      <c r="AC313">
        <v>13</v>
      </c>
      <c r="AD313">
        <v>4</v>
      </c>
      <c r="AE313">
        <v>6</v>
      </c>
      <c r="AF313">
        <v>0</v>
      </c>
      <c r="AG313">
        <v>-1</v>
      </c>
      <c r="AH313">
        <v>-1</v>
      </c>
      <c r="AI313">
        <v>0</v>
      </c>
      <c r="AJ313">
        <v>1</v>
      </c>
      <c r="AK313" t="str">
        <f>VLOOKUP(AJ313, Lookups!$B$23:$C$28, 2, FALSE)</f>
        <v>Daylight</v>
      </c>
      <c r="AL313">
        <v>1</v>
      </c>
      <c r="AM313" t="str">
        <f>VLOOKUP(AL313, Lookups!$B$30:$C$39, 2, FALSE)</f>
        <v>Fine / Clear</v>
      </c>
      <c r="AN313">
        <v>1</v>
      </c>
      <c r="AO313" t="str">
        <f>VLOOKUP(AN313, Lookups!$B$41:$C$49, 2, FALSE)</f>
        <v>Dry</v>
      </c>
      <c r="AP313">
        <v>-1</v>
      </c>
      <c r="AQ313">
        <v>-1</v>
      </c>
      <c r="AR313">
        <v>0</v>
      </c>
      <c r="AS313">
        <v>2</v>
      </c>
      <c r="AT313">
        <v>1</v>
      </c>
      <c r="AU313">
        <v>2</v>
      </c>
      <c r="AV313" t="s">
        <v>65</v>
      </c>
      <c r="AW313">
        <v>7</v>
      </c>
      <c r="AX313">
        <v>1</v>
      </c>
      <c r="AY313">
        <v>1</v>
      </c>
      <c r="AZ313">
        <v>0</v>
      </c>
    </row>
    <row r="314" spans="1:52" x14ac:dyDescent="0.35">
      <c r="A314">
        <v>2025221606421</v>
      </c>
      <c r="B314">
        <v>2025</v>
      </c>
      <c r="C314">
        <v>221606421</v>
      </c>
      <c r="D314">
        <v>385011</v>
      </c>
      <c r="E314">
        <v>254618</v>
      </c>
      <c r="F314">
        <v>-2.2206800000000002</v>
      </c>
      <c r="G314">
        <v>52.189599999999999</v>
      </c>
      <c r="H314">
        <v>22</v>
      </c>
      <c r="I314">
        <v>2</v>
      </c>
      <c r="J314" t="str">
        <f>VLOOKUP(I314, Lookups!$B$1:$C$4, 2, FALSE)</f>
        <v>Serious</v>
      </c>
      <c r="K314">
        <v>1</v>
      </c>
      <c r="L314">
        <v>2</v>
      </c>
      <c r="M314" s="1">
        <v>45829</v>
      </c>
      <c r="N314">
        <v>7</v>
      </c>
      <c r="O314" t="str">
        <f>VLOOKUP(N314, Lookups!$B$6:$C$12, 2, FALSE)</f>
        <v>Saturday</v>
      </c>
      <c r="P314" s="2">
        <v>0.76458333333333328</v>
      </c>
      <c r="Q314">
        <v>-1</v>
      </c>
      <c r="R314" t="s">
        <v>60</v>
      </c>
      <c r="S314" t="s">
        <v>45</v>
      </c>
      <c r="T314" t="s">
        <v>45</v>
      </c>
      <c r="U314">
        <v>3</v>
      </c>
      <c r="V314" t="str">
        <f>VLOOKUP(U314, Lookups!$B$51:$C$57, 2, FALSE)</f>
        <v>A</v>
      </c>
      <c r="W314">
        <v>44</v>
      </c>
      <c r="X314" t="str">
        <f t="shared" si="41"/>
        <v>A44</v>
      </c>
      <c r="Y314">
        <v>6</v>
      </c>
      <c r="Z314" t="str">
        <f>VLOOKUP(Y314, Lookups!$B$14:$C$21, 2, FALSE)</f>
        <v>Single carriageway</v>
      </c>
      <c r="AA314">
        <v>30</v>
      </c>
      <c r="AB314">
        <v>-1</v>
      </c>
      <c r="AC314">
        <v>19</v>
      </c>
      <c r="AD314">
        <v>4</v>
      </c>
      <c r="AE314">
        <v>3</v>
      </c>
      <c r="AF314">
        <v>44</v>
      </c>
      <c r="AG314">
        <v>-1</v>
      </c>
      <c r="AH314">
        <v>-1</v>
      </c>
      <c r="AI314">
        <v>14</v>
      </c>
      <c r="AJ314">
        <v>1</v>
      </c>
      <c r="AK314" t="str">
        <f>VLOOKUP(AJ314, Lookups!$B$23:$C$28, 2, FALSE)</f>
        <v>Daylight</v>
      </c>
      <c r="AL314">
        <v>1</v>
      </c>
      <c r="AM314" t="str">
        <f>VLOOKUP(AL314, Lookups!$B$30:$C$39, 2, FALSE)</f>
        <v>Fine / Clear</v>
      </c>
      <c r="AN314">
        <v>1</v>
      </c>
      <c r="AO314" t="str">
        <f>VLOOKUP(AN314, Lookups!$B$41:$C$49, 2, FALSE)</f>
        <v>Dry</v>
      </c>
      <c r="AP314">
        <v>-1</v>
      </c>
      <c r="AQ314">
        <v>-1</v>
      </c>
      <c r="AR314">
        <v>0</v>
      </c>
      <c r="AS314">
        <v>1</v>
      </c>
      <c r="AT314">
        <v>1</v>
      </c>
      <c r="AU314">
        <v>2</v>
      </c>
      <c r="AV314" t="s">
        <v>122</v>
      </c>
      <c r="AW314">
        <v>5</v>
      </c>
      <c r="AX314">
        <v>1</v>
      </c>
      <c r="AY314">
        <v>1</v>
      </c>
      <c r="AZ314">
        <v>0</v>
      </c>
    </row>
    <row r="315" spans="1:52" x14ac:dyDescent="0.35">
      <c r="A315">
        <v>2025221623173</v>
      </c>
      <c r="B315">
        <v>2025</v>
      </c>
      <c r="C315">
        <v>221623173</v>
      </c>
      <c r="D315">
        <v>381725</v>
      </c>
      <c r="E315">
        <v>278073</v>
      </c>
      <c r="F315">
        <v>-2.2700200000000001</v>
      </c>
      <c r="G315">
        <v>52.400359999999999</v>
      </c>
      <c r="H315">
        <v>22</v>
      </c>
      <c r="I315">
        <v>3</v>
      </c>
      <c r="J315" t="str">
        <f>VLOOKUP(I315, Lookups!$B$1:$C$4, 2, FALSE)</f>
        <v>Slight</v>
      </c>
      <c r="K315">
        <v>2</v>
      </c>
      <c r="L315">
        <v>1</v>
      </c>
      <c r="M315" s="1">
        <v>45868</v>
      </c>
      <c r="N315">
        <v>4</v>
      </c>
      <c r="O315" t="str">
        <f>VLOOKUP(N315, Lookups!$B$6:$C$12, 2, FALSE)</f>
        <v>Wednesday</v>
      </c>
      <c r="P315" s="2">
        <v>0.91249999999999998</v>
      </c>
      <c r="Q315">
        <v>-1</v>
      </c>
      <c r="R315" t="s">
        <v>44</v>
      </c>
      <c r="S315" t="s">
        <v>45</v>
      </c>
      <c r="T315" t="s">
        <v>45</v>
      </c>
      <c r="U315">
        <v>3</v>
      </c>
      <c r="V315" t="str">
        <f>VLOOKUP(U315, Lookups!$B$51:$C$57, 2, FALSE)</f>
        <v>A</v>
      </c>
      <c r="W315">
        <v>442</v>
      </c>
      <c r="X315" t="str">
        <f t="shared" si="41"/>
        <v>A442</v>
      </c>
      <c r="Y315">
        <v>1</v>
      </c>
      <c r="Z315" t="str">
        <f>VLOOKUP(Y315, Lookups!$B$14:$C$21, 2, FALSE)</f>
        <v>Roundabout</v>
      </c>
      <c r="AA315">
        <v>30</v>
      </c>
      <c r="AB315">
        <v>-1</v>
      </c>
      <c r="AC315">
        <v>-1</v>
      </c>
      <c r="AD315">
        <v>4</v>
      </c>
      <c r="AE315">
        <v>4</v>
      </c>
      <c r="AF315">
        <v>4190</v>
      </c>
      <c r="AG315">
        <v>-1</v>
      </c>
      <c r="AH315">
        <v>-1</v>
      </c>
      <c r="AI315">
        <v>0</v>
      </c>
      <c r="AJ315">
        <v>4</v>
      </c>
      <c r="AK315" t="str">
        <f>VLOOKUP(AJ315, Lookups!$B$23:$C$28, 2, FALSE)</f>
        <v>Darkness (Lit)</v>
      </c>
      <c r="AL315">
        <v>1</v>
      </c>
      <c r="AM315" t="str">
        <f>VLOOKUP(AL315, Lookups!$B$30:$C$39, 2, FALSE)</f>
        <v>Fine / Clear</v>
      </c>
      <c r="AN315">
        <v>1</v>
      </c>
      <c r="AO315" t="str">
        <f>VLOOKUP(AN315, Lookups!$B$41:$C$49, 2, FALSE)</f>
        <v>Dry</v>
      </c>
      <c r="AP315">
        <v>-1</v>
      </c>
      <c r="AQ315">
        <v>-1</v>
      </c>
      <c r="AR315">
        <v>0</v>
      </c>
      <c r="AS315">
        <v>1</v>
      </c>
      <c r="AT315">
        <v>3</v>
      </c>
      <c r="AU315">
        <v>2</v>
      </c>
      <c r="AV315" t="s">
        <v>230</v>
      </c>
      <c r="AW315">
        <v>3</v>
      </c>
      <c r="AX315">
        <v>1</v>
      </c>
      <c r="AY315">
        <v>0</v>
      </c>
      <c r="AZ315">
        <v>1</v>
      </c>
    </row>
    <row r="316" spans="1:52" x14ac:dyDescent="0.35">
      <c r="A316">
        <v>2025221623593</v>
      </c>
      <c r="B316">
        <v>2025</v>
      </c>
      <c r="C316">
        <v>221623593</v>
      </c>
      <c r="D316">
        <v>382522</v>
      </c>
      <c r="E316">
        <v>276826</v>
      </c>
      <c r="F316">
        <v>-2.2582399999999998</v>
      </c>
      <c r="G316">
        <v>52.389180000000003</v>
      </c>
      <c r="H316">
        <v>22</v>
      </c>
      <c r="I316">
        <v>3</v>
      </c>
      <c r="J316" t="str">
        <f>VLOOKUP(I316, Lookups!$B$1:$C$4, 2, FALSE)</f>
        <v>Slight</v>
      </c>
      <c r="K316">
        <v>2</v>
      </c>
      <c r="L316">
        <v>1</v>
      </c>
      <c r="M316" s="1">
        <v>45870</v>
      </c>
      <c r="N316">
        <v>6</v>
      </c>
      <c r="O316" t="str">
        <f>VLOOKUP(N316, Lookups!$B$6:$C$12, 2, FALSE)</f>
        <v>Friday</v>
      </c>
      <c r="P316" s="2">
        <v>0.67569444444444449</v>
      </c>
      <c r="Q316">
        <v>-1</v>
      </c>
      <c r="R316" t="s">
        <v>44</v>
      </c>
      <c r="S316" t="s">
        <v>45</v>
      </c>
      <c r="T316" t="s">
        <v>45</v>
      </c>
      <c r="U316">
        <v>3</v>
      </c>
      <c r="V316" t="str">
        <f>VLOOKUP(U316, Lookups!$B$51:$C$57, 2, FALSE)</f>
        <v>A</v>
      </c>
      <c r="W316">
        <v>442</v>
      </c>
      <c r="X316" t="str">
        <f t="shared" si="41"/>
        <v>A442</v>
      </c>
      <c r="Y316">
        <v>6</v>
      </c>
      <c r="Z316" t="str">
        <f>VLOOKUP(Y316, Lookups!$B$14:$C$21, 2, FALSE)</f>
        <v>Single carriageway</v>
      </c>
      <c r="AA316">
        <v>40</v>
      </c>
      <c r="AB316">
        <v>-1</v>
      </c>
      <c r="AC316">
        <v>13</v>
      </c>
      <c r="AD316">
        <v>4</v>
      </c>
      <c r="AE316">
        <v>6</v>
      </c>
      <c r="AF316">
        <v>0</v>
      </c>
      <c r="AG316">
        <v>-1</v>
      </c>
      <c r="AH316">
        <v>-1</v>
      </c>
      <c r="AI316">
        <v>14</v>
      </c>
      <c r="AJ316">
        <v>1</v>
      </c>
      <c r="AK316" t="str">
        <f>VLOOKUP(AJ316, Lookups!$B$23:$C$28, 2, FALSE)</f>
        <v>Daylight</v>
      </c>
      <c r="AL316">
        <v>1</v>
      </c>
      <c r="AM316" t="str">
        <f>VLOOKUP(AL316, Lookups!$B$30:$C$39, 2, FALSE)</f>
        <v>Fine / Clear</v>
      </c>
      <c r="AN316">
        <v>1</v>
      </c>
      <c r="AO316" t="str">
        <f>VLOOKUP(AN316, Lookups!$B$41:$C$49, 2, FALSE)</f>
        <v>Dry</v>
      </c>
      <c r="AP316">
        <v>-1</v>
      </c>
      <c r="AQ316">
        <v>-1</v>
      </c>
      <c r="AR316">
        <v>0</v>
      </c>
      <c r="AS316">
        <v>1</v>
      </c>
      <c r="AT316">
        <v>3</v>
      </c>
      <c r="AU316">
        <v>2</v>
      </c>
      <c r="AV316" t="s">
        <v>105</v>
      </c>
      <c r="AW316">
        <v>3</v>
      </c>
      <c r="AX316">
        <v>1</v>
      </c>
      <c r="AY316">
        <v>0</v>
      </c>
      <c r="AZ316">
        <v>1</v>
      </c>
    </row>
    <row r="317" spans="1:52" x14ac:dyDescent="0.35">
      <c r="A317">
        <v>2025221641336</v>
      </c>
      <c r="B317">
        <v>2025</v>
      </c>
      <c r="C317">
        <v>221641336</v>
      </c>
      <c r="D317">
        <v>376632</v>
      </c>
      <c r="E317">
        <v>244791</v>
      </c>
      <c r="F317">
        <v>-2.3425600000000002</v>
      </c>
      <c r="G317">
        <v>52.100960000000001</v>
      </c>
      <c r="H317">
        <v>22</v>
      </c>
      <c r="I317">
        <v>2</v>
      </c>
      <c r="J317" t="str">
        <f>VLOOKUP(I317, Lookups!$B$1:$C$4, 2, FALSE)</f>
        <v>Serious</v>
      </c>
      <c r="K317">
        <v>2</v>
      </c>
      <c r="L317">
        <v>2</v>
      </c>
      <c r="M317" s="1">
        <v>45913</v>
      </c>
      <c r="N317">
        <v>7</v>
      </c>
      <c r="O317" t="str">
        <f>VLOOKUP(N317, Lookups!$B$6:$C$12, 2, FALSE)</f>
        <v>Saturday</v>
      </c>
      <c r="P317" s="2">
        <v>0.92013888888888884</v>
      </c>
      <c r="Q317">
        <v>-1</v>
      </c>
      <c r="R317" t="s">
        <v>49</v>
      </c>
      <c r="S317" t="s">
        <v>45</v>
      </c>
      <c r="T317" t="s">
        <v>45</v>
      </c>
      <c r="U317">
        <v>4</v>
      </c>
      <c r="V317" t="str">
        <f>VLOOKUP(U317, Lookups!$B$51:$C$57, 2, FALSE)</f>
        <v>B</v>
      </c>
      <c r="W317">
        <v>4232</v>
      </c>
      <c r="X317" t="str">
        <f t="shared" si="41"/>
        <v>B4232</v>
      </c>
      <c r="Y317">
        <v>6</v>
      </c>
      <c r="Z317" t="str">
        <f>VLOOKUP(Y317, Lookups!$B$14:$C$21, 2, FALSE)</f>
        <v>Single carriageway</v>
      </c>
      <c r="AA317">
        <v>60</v>
      </c>
      <c r="AB317">
        <v>-1</v>
      </c>
      <c r="AC317">
        <v>0</v>
      </c>
      <c r="AD317">
        <v>-1</v>
      </c>
      <c r="AE317">
        <v>0</v>
      </c>
      <c r="AF317">
        <v>-1</v>
      </c>
      <c r="AG317">
        <v>-1</v>
      </c>
      <c r="AH317">
        <v>-1</v>
      </c>
      <c r="AI317">
        <v>0</v>
      </c>
      <c r="AJ317">
        <v>6</v>
      </c>
      <c r="AK317" t="str">
        <f>VLOOKUP(AJ317, Lookups!$B$23:$C$28, 2, FALSE)</f>
        <v>Darkness (Unlit)</v>
      </c>
      <c r="AL317">
        <v>1</v>
      </c>
      <c r="AM317" t="str">
        <f>VLOOKUP(AL317, Lookups!$B$30:$C$39, 2, FALSE)</f>
        <v>Fine / Clear</v>
      </c>
      <c r="AN317">
        <v>2</v>
      </c>
      <c r="AO317" t="str">
        <f>VLOOKUP(AN317, Lookups!$B$41:$C$49, 2, FALSE)</f>
        <v>Wet / damp</v>
      </c>
      <c r="AP317">
        <v>-1</v>
      </c>
      <c r="AQ317">
        <v>-1</v>
      </c>
      <c r="AR317">
        <v>0</v>
      </c>
      <c r="AS317">
        <v>2</v>
      </c>
      <c r="AT317">
        <v>1</v>
      </c>
      <c r="AU317">
        <v>2</v>
      </c>
      <c r="AV317" t="s">
        <v>231</v>
      </c>
      <c r="AW317">
        <v>7</v>
      </c>
      <c r="AX317">
        <v>1</v>
      </c>
      <c r="AY317">
        <v>1</v>
      </c>
      <c r="AZ317">
        <v>0</v>
      </c>
    </row>
    <row r="318" spans="1:52" x14ac:dyDescent="0.35">
      <c r="A318">
        <v>2025221656705</v>
      </c>
      <c r="B318">
        <v>2025</v>
      </c>
      <c r="C318">
        <v>221656705</v>
      </c>
      <c r="D318">
        <v>377204</v>
      </c>
      <c r="E318">
        <v>265421</v>
      </c>
      <c r="F318">
        <v>-2.33561</v>
      </c>
      <c r="G318">
        <v>52.286450000000002</v>
      </c>
      <c r="H318">
        <v>22</v>
      </c>
      <c r="I318">
        <v>2</v>
      </c>
      <c r="J318" t="str">
        <f>VLOOKUP(I318, Lookups!$B$1:$C$4, 2, FALSE)</f>
        <v>Serious</v>
      </c>
      <c r="K318">
        <v>2</v>
      </c>
      <c r="L318">
        <v>1</v>
      </c>
      <c r="M318" s="1">
        <v>45950</v>
      </c>
      <c r="N318">
        <v>2</v>
      </c>
      <c r="O318" t="str">
        <f>VLOOKUP(N318, Lookups!$B$6:$C$12, 2, FALSE)</f>
        <v>Monday</v>
      </c>
      <c r="P318" s="2">
        <v>0.30208333333333331</v>
      </c>
      <c r="Q318">
        <v>-1</v>
      </c>
      <c r="R318" t="s">
        <v>49</v>
      </c>
      <c r="S318" t="s">
        <v>45</v>
      </c>
      <c r="T318" t="s">
        <v>45</v>
      </c>
      <c r="U318">
        <v>3</v>
      </c>
      <c r="V318" t="str">
        <f>VLOOKUP(U318, Lookups!$B$51:$C$57, 2, FALSE)</f>
        <v>A</v>
      </c>
      <c r="W318">
        <v>443</v>
      </c>
      <c r="X318" t="str">
        <f t="shared" si="41"/>
        <v>A443</v>
      </c>
      <c r="Y318">
        <v>6</v>
      </c>
      <c r="Z318" t="str">
        <f>VLOOKUP(Y318, Lookups!$B$14:$C$21, 2, FALSE)</f>
        <v>Single carriageway</v>
      </c>
      <c r="AA318">
        <v>60</v>
      </c>
      <c r="AB318">
        <v>-1</v>
      </c>
      <c r="AC318">
        <v>13</v>
      </c>
      <c r="AD318">
        <v>4</v>
      </c>
      <c r="AE318">
        <v>6</v>
      </c>
      <c r="AF318">
        <v>0</v>
      </c>
      <c r="AG318">
        <v>-1</v>
      </c>
      <c r="AH318">
        <v>-1</v>
      </c>
      <c r="AI318">
        <v>0</v>
      </c>
      <c r="AJ318">
        <v>6</v>
      </c>
      <c r="AK318" t="str">
        <f>VLOOKUP(AJ318, Lookups!$B$23:$C$28, 2, FALSE)</f>
        <v>Darkness (Unlit)</v>
      </c>
      <c r="AL318">
        <v>2</v>
      </c>
      <c r="AM318" t="str">
        <f>VLOOKUP(AL318, Lookups!$B$30:$C$39, 2, FALSE)</f>
        <v>Rain</v>
      </c>
      <c r="AN318">
        <v>2</v>
      </c>
      <c r="AO318" t="str">
        <f>VLOOKUP(AN318, Lookups!$B$41:$C$49, 2, FALSE)</f>
        <v>Wet / damp</v>
      </c>
      <c r="AP318">
        <v>-1</v>
      </c>
      <c r="AQ318">
        <v>-1</v>
      </c>
      <c r="AR318">
        <v>0</v>
      </c>
      <c r="AS318">
        <v>2</v>
      </c>
      <c r="AT318">
        <v>3</v>
      </c>
      <c r="AU318">
        <v>2</v>
      </c>
      <c r="AV318" t="s">
        <v>76</v>
      </c>
      <c r="AW318">
        <v>7</v>
      </c>
      <c r="AX318">
        <v>1</v>
      </c>
      <c r="AY318">
        <v>1</v>
      </c>
      <c r="AZ318">
        <v>0</v>
      </c>
    </row>
    <row r="319" spans="1:52" x14ac:dyDescent="0.35">
      <c r="A319">
        <v>2025221685771</v>
      </c>
      <c r="B319">
        <v>2025</v>
      </c>
      <c r="C319">
        <v>221685771</v>
      </c>
      <c r="D319">
        <v>392473</v>
      </c>
      <c r="E319">
        <v>243668</v>
      </c>
      <c r="F319">
        <v>-2.1112799999999998</v>
      </c>
      <c r="G319">
        <v>52.09131</v>
      </c>
      <c r="H319">
        <v>22</v>
      </c>
      <c r="I319">
        <v>3</v>
      </c>
      <c r="J319" t="str">
        <f>VLOOKUP(I319, Lookups!$B$1:$C$4, 2, FALSE)</f>
        <v>Slight</v>
      </c>
      <c r="K319">
        <v>2</v>
      </c>
      <c r="L319">
        <v>1</v>
      </c>
      <c r="M319" s="1">
        <v>46010</v>
      </c>
      <c r="N319">
        <v>6</v>
      </c>
      <c r="O319" t="str">
        <f>VLOOKUP(N319, Lookups!$B$6:$C$12, 2, FALSE)</f>
        <v>Friday</v>
      </c>
      <c r="P319" s="2">
        <v>0.43472222222222223</v>
      </c>
      <c r="Q319">
        <v>-1</v>
      </c>
      <c r="R319" t="s">
        <v>54</v>
      </c>
      <c r="S319" t="s">
        <v>45</v>
      </c>
      <c r="T319" t="s">
        <v>45</v>
      </c>
      <c r="U319">
        <v>3</v>
      </c>
      <c r="V319" t="str">
        <f>VLOOKUP(U319, Lookups!$B$51:$C$57, 2, FALSE)</f>
        <v>A</v>
      </c>
      <c r="W319">
        <v>4104</v>
      </c>
      <c r="X319" t="str">
        <f t="shared" si="41"/>
        <v>A4104</v>
      </c>
      <c r="Y319">
        <v>6</v>
      </c>
      <c r="Z319" t="str">
        <f>VLOOKUP(Y319, Lookups!$B$14:$C$21, 2, FALSE)</f>
        <v>Single carriageway</v>
      </c>
      <c r="AA319">
        <v>40</v>
      </c>
      <c r="AB319">
        <v>-1</v>
      </c>
      <c r="AC319">
        <v>0</v>
      </c>
      <c r="AD319">
        <v>-1</v>
      </c>
      <c r="AE319">
        <v>4</v>
      </c>
      <c r="AF319">
        <v>4080</v>
      </c>
      <c r="AG319">
        <v>-1</v>
      </c>
      <c r="AH319">
        <v>-1</v>
      </c>
      <c r="AI319">
        <v>0</v>
      </c>
      <c r="AJ319">
        <v>1</v>
      </c>
      <c r="AK319" t="str">
        <f>VLOOKUP(AJ319, Lookups!$B$23:$C$28, 2, FALSE)</f>
        <v>Daylight</v>
      </c>
      <c r="AL319">
        <v>1</v>
      </c>
      <c r="AM319" t="str">
        <f>VLOOKUP(AL319, Lookups!$B$30:$C$39, 2, FALSE)</f>
        <v>Fine / Clear</v>
      </c>
      <c r="AN319">
        <v>1</v>
      </c>
      <c r="AO319" t="str">
        <f>VLOOKUP(AN319, Lookups!$B$41:$C$49, 2, FALSE)</f>
        <v>Dry</v>
      </c>
      <c r="AP319">
        <v>-1</v>
      </c>
      <c r="AQ319">
        <v>-1</v>
      </c>
      <c r="AR319">
        <v>0</v>
      </c>
      <c r="AS319">
        <v>2</v>
      </c>
      <c r="AT319">
        <v>1</v>
      </c>
      <c r="AU319">
        <v>2</v>
      </c>
      <c r="AV319" t="s">
        <v>174</v>
      </c>
      <c r="AW319">
        <v>3</v>
      </c>
      <c r="AX319">
        <v>1</v>
      </c>
      <c r="AY319">
        <v>0</v>
      </c>
      <c r="AZ319">
        <v>1</v>
      </c>
    </row>
    <row r="320" spans="1:52" x14ac:dyDescent="0.35">
      <c r="A320">
        <v>2025221572571</v>
      </c>
      <c r="B320">
        <v>2025</v>
      </c>
      <c r="C320">
        <v>221572571</v>
      </c>
      <c r="D320">
        <v>381808</v>
      </c>
      <c r="E320">
        <v>251513</v>
      </c>
      <c r="F320">
        <v>-2.26736</v>
      </c>
      <c r="G320">
        <v>52.161589999999997</v>
      </c>
      <c r="H320">
        <v>22</v>
      </c>
      <c r="I320">
        <v>2</v>
      </c>
      <c r="J320" t="str">
        <f>VLOOKUP(I320, Lookups!$B$1:$C$4, 2, FALSE)</f>
        <v>Serious</v>
      </c>
      <c r="K320">
        <v>2</v>
      </c>
      <c r="L320">
        <v>1</v>
      </c>
      <c r="M320" s="1">
        <v>45748</v>
      </c>
      <c r="N320">
        <v>3</v>
      </c>
      <c r="O320" t="str">
        <f>VLOOKUP(N320, Lookups!$B$6:$C$12, 2, FALSE)</f>
        <v>Tuesday</v>
      </c>
      <c r="P320" s="2">
        <v>0.51041666666666663</v>
      </c>
      <c r="Q320">
        <v>-1</v>
      </c>
      <c r="R320" t="s">
        <v>49</v>
      </c>
      <c r="S320" t="s">
        <v>45</v>
      </c>
      <c r="T320" t="s">
        <v>45</v>
      </c>
      <c r="U320">
        <v>6</v>
      </c>
      <c r="V320" t="str">
        <f>VLOOKUP(U320, Lookups!$B$51:$C$57, 2, FALSE)</f>
        <v>Unclassified</v>
      </c>
      <c r="W320">
        <v>0</v>
      </c>
      <c r="X320" t="s">
        <v>362</v>
      </c>
      <c r="Y320">
        <v>6</v>
      </c>
      <c r="Z320" t="str">
        <f>VLOOKUP(Y320, Lookups!$B$14:$C$21, 2, FALSE)</f>
        <v>Single carriageway</v>
      </c>
      <c r="AA320">
        <v>30</v>
      </c>
      <c r="AB320">
        <v>-1</v>
      </c>
      <c r="AC320">
        <v>13</v>
      </c>
      <c r="AD320">
        <v>4</v>
      </c>
      <c r="AE320">
        <v>6</v>
      </c>
      <c r="AF320">
        <v>0</v>
      </c>
      <c r="AG320">
        <v>-1</v>
      </c>
      <c r="AH320">
        <v>-1</v>
      </c>
      <c r="AI320">
        <v>0</v>
      </c>
      <c r="AJ320">
        <v>1</v>
      </c>
      <c r="AK320" t="str">
        <f>VLOOKUP(AJ320, Lookups!$B$23:$C$28, 2, FALSE)</f>
        <v>Daylight</v>
      </c>
      <c r="AL320">
        <v>1</v>
      </c>
      <c r="AM320" t="str">
        <f>VLOOKUP(AL320, Lookups!$B$30:$C$39, 2, FALSE)</f>
        <v>Fine / Clear</v>
      </c>
      <c r="AN320">
        <v>1</v>
      </c>
      <c r="AO320" t="str">
        <f>VLOOKUP(AN320, Lookups!$B$41:$C$49, 2, FALSE)</f>
        <v>Dry</v>
      </c>
      <c r="AP320">
        <v>-1</v>
      </c>
      <c r="AQ320">
        <v>-1</v>
      </c>
      <c r="AR320">
        <v>0</v>
      </c>
      <c r="AS320">
        <v>2</v>
      </c>
      <c r="AT320">
        <v>3</v>
      </c>
      <c r="AU320">
        <v>2</v>
      </c>
      <c r="AV320" t="s">
        <v>65</v>
      </c>
      <c r="AW320">
        <v>7</v>
      </c>
      <c r="AX320">
        <v>1</v>
      </c>
      <c r="AY320">
        <v>1</v>
      </c>
      <c r="AZ320">
        <v>0</v>
      </c>
    </row>
    <row r="321" spans="1:52" x14ac:dyDescent="0.35">
      <c r="A321">
        <v>2025221582057</v>
      </c>
      <c r="B321">
        <v>2025</v>
      </c>
      <c r="C321">
        <v>221582057</v>
      </c>
      <c r="D321">
        <v>383489</v>
      </c>
      <c r="E321">
        <v>274860</v>
      </c>
      <c r="F321">
        <v>-2.2439399999999998</v>
      </c>
      <c r="G321">
        <v>52.37153</v>
      </c>
      <c r="H321">
        <v>22</v>
      </c>
      <c r="I321">
        <v>2</v>
      </c>
      <c r="J321" t="str">
        <f>VLOOKUP(I321, Lookups!$B$1:$C$4, 2, FALSE)</f>
        <v>Serious</v>
      </c>
      <c r="K321">
        <v>1</v>
      </c>
      <c r="L321">
        <v>1</v>
      </c>
      <c r="M321" s="1">
        <v>45771</v>
      </c>
      <c r="N321">
        <v>5</v>
      </c>
      <c r="O321" t="str">
        <f>VLOOKUP(N321, Lookups!$B$6:$C$12, 2, FALSE)</f>
        <v>Thursday</v>
      </c>
      <c r="P321" s="2">
        <v>0.67569444444444449</v>
      </c>
      <c r="Q321">
        <v>-1</v>
      </c>
      <c r="R321" t="s">
        <v>44</v>
      </c>
      <c r="S321" t="s">
        <v>45</v>
      </c>
      <c r="T321" t="s">
        <v>45</v>
      </c>
      <c r="U321">
        <v>3</v>
      </c>
      <c r="V321" t="str">
        <f>VLOOKUP(U321, Lookups!$B$51:$C$57, 2, FALSE)</f>
        <v>A</v>
      </c>
      <c r="W321">
        <v>449</v>
      </c>
      <c r="X321" t="str">
        <f t="shared" ref="X321:X325" si="42">V321&amp;W321</f>
        <v>A449</v>
      </c>
      <c r="Y321">
        <v>3</v>
      </c>
      <c r="Z321" t="str">
        <f>VLOOKUP(Y321, Lookups!$B$14:$C$21, 2, FALSE)</f>
        <v>Dual carriageway</v>
      </c>
      <c r="AA321">
        <v>40</v>
      </c>
      <c r="AB321">
        <v>-1</v>
      </c>
      <c r="AC321">
        <v>0</v>
      </c>
      <c r="AD321">
        <v>-1</v>
      </c>
      <c r="AE321">
        <v>6</v>
      </c>
      <c r="AF321">
        <v>0</v>
      </c>
      <c r="AG321">
        <v>-1</v>
      </c>
      <c r="AH321">
        <v>-1</v>
      </c>
      <c r="AI321">
        <v>15</v>
      </c>
      <c r="AJ321">
        <v>1</v>
      </c>
      <c r="AK321" t="str">
        <f>VLOOKUP(AJ321, Lookups!$B$23:$C$28, 2, FALSE)</f>
        <v>Daylight</v>
      </c>
      <c r="AL321">
        <v>1</v>
      </c>
      <c r="AM321" t="str">
        <f>VLOOKUP(AL321, Lookups!$B$30:$C$39, 2, FALSE)</f>
        <v>Fine / Clear</v>
      </c>
      <c r="AN321">
        <v>1</v>
      </c>
      <c r="AO321" t="str">
        <f>VLOOKUP(AN321, Lookups!$B$41:$C$49, 2, FALSE)</f>
        <v>Dry</v>
      </c>
      <c r="AP321">
        <v>-1</v>
      </c>
      <c r="AQ321">
        <v>-1</v>
      </c>
      <c r="AR321">
        <v>0</v>
      </c>
      <c r="AS321">
        <v>1</v>
      </c>
      <c r="AT321">
        <v>1</v>
      </c>
      <c r="AU321">
        <v>2</v>
      </c>
      <c r="AV321" t="s">
        <v>96</v>
      </c>
      <c r="AW321">
        <v>7</v>
      </c>
      <c r="AX321">
        <v>1</v>
      </c>
      <c r="AY321">
        <v>1</v>
      </c>
      <c r="AZ321">
        <v>0</v>
      </c>
    </row>
    <row r="322" spans="1:52" x14ac:dyDescent="0.35">
      <c r="A322">
        <v>2025221644935</v>
      </c>
      <c r="B322">
        <v>2025</v>
      </c>
      <c r="C322">
        <v>221644935</v>
      </c>
      <c r="D322">
        <v>384579</v>
      </c>
      <c r="E322">
        <v>254887</v>
      </c>
      <c r="F322">
        <v>-2.2270099999999999</v>
      </c>
      <c r="G322">
        <v>52.192</v>
      </c>
      <c r="H322">
        <v>22</v>
      </c>
      <c r="I322">
        <v>3</v>
      </c>
      <c r="J322" t="str">
        <f>VLOOKUP(I322, Lookups!$B$1:$C$4, 2, FALSE)</f>
        <v>Slight</v>
      </c>
      <c r="K322">
        <v>2</v>
      </c>
      <c r="L322">
        <v>1</v>
      </c>
      <c r="M322" s="1">
        <v>45921</v>
      </c>
      <c r="N322">
        <v>1</v>
      </c>
      <c r="O322" t="str">
        <f>VLOOKUP(N322, Lookups!$B$6:$C$12, 2, FALSE)</f>
        <v>Sunday</v>
      </c>
      <c r="P322" s="2">
        <v>0.80555555555555558</v>
      </c>
      <c r="Q322">
        <v>-1</v>
      </c>
      <c r="R322" t="s">
        <v>60</v>
      </c>
      <c r="S322" t="s">
        <v>45</v>
      </c>
      <c r="T322" t="s">
        <v>45</v>
      </c>
      <c r="U322">
        <v>3</v>
      </c>
      <c r="V322" t="str">
        <f>VLOOKUP(U322, Lookups!$B$51:$C$57, 2, FALSE)</f>
        <v>A</v>
      </c>
      <c r="W322">
        <v>44</v>
      </c>
      <c r="X322" t="str">
        <f t="shared" si="42"/>
        <v>A44</v>
      </c>
      <c r="Y322">
        <v>2</v>
      </c>
      <c r="Z322" t="str">
        <f>VLOOKUP(Y322, Lookups!$B$14:$C$21, 2, FALSE)</f>
        <v>One way street</v>
      </c>
      <c r="AA322">
        <v>30</v>
      </c>
      <c r="AB322">
        <v>-1</v>
      </c>
      <c r="AC322">
        <v>13</v>
      </c>
      <c r="AD322">
        <v>4</v>
      </c>
      <c r="AE322">
        <v>6</v>
      </c>
      <c r="AF322">
        <v>0</v>
      </c>
      <c r="AG322">
        <v>-1</v>
      </c>
      <c r="AH322">
        <v>-1</v>
      </c>
      <c r="AI322">
        <v>15</v>
      </c>
      <c r="AJ322">
        <v>1</v>
      </c>
      <c r="AK322" t="str">
        <f>VLOOKUP(AJ322, Lookups!$B$23:$C$28, 2, FALSE)</f>
        <v>Daylight</v>
      </c>
      <c r="AL322">
        <v>1</v>
      </c>
      <c r="AM322" t="str">
        <f>VLOOKUP(AL322, Lookups!$B$30:$C$39, 2, FALSE)</f>
        <v>Fine / Clear</v>
      </c>
      <c r="AN322">
        <v>1</v>
      </c>
      <c r="AO322" t="str">
        <f>VLOOKUP(AN322, Lookups!$B$41:$C$49, 2, FALSE)</f>
        <v>Dry</v>
      </c>
      <c r="AP322">
        <v>-1</v>
      </c>
      <c r="AQ322">
        <v>-1</v>
      </c>
      <c r="AR322">
        <v>0</v>
      </c>
      <c r="AS322">
        <v>2</v>
      </c>
      <c r="AT322">
        <v>3</v>
      </c>
      <c r="AU322">
        <v>2</v>
      </c>
      <c r="AV322" t="s">
        <v>142</v>
      </c>
      <c r="AW322">
        <v>3</v>
      </c>
      <c r="AX322">
        <v>1</v>
      </c>
      <c r="AY322">
        <v>0</v>
      </c>
      <c r="AZ322">
        <v>1</v>
      </c>
    </row>
    <row r="323" spans="1:52" x14ac:dyDescent="0.35">
      <c r="A323">
        <v>2025221540613</v>
      </c>
      <c r="B323">
        <v>2025</v>
      </c>
      <c r="C323">
        <v>221540613</v>
      </c>
      <c r="D323">
        <v>404018</v>
      </c>
      <c r="E323">
        <v>273708</v>
      </c>
      <c r="F323">
        <v>-1.94242</v>
      </c>
      <c r="G323">
        <v>52.361409999999999</v>
      </c>
      <c r="H323">
        <v>22</v>
      </c>
      <c r="I323">
        <v>3</v>
      </c>
      <c r="J323" t="str">
        <f>VLOOKUP(I323, Lookups!$B$1:$C$4, 2, FALSE)</f>
        <v>Slight</v>
      </c>
      <c r="K323">
        <v>1</v>
      </c>
      <c r="L323">
        <v>1</v>
      </c>
      <c r="M323" s="1">
        <v>45663</v>
      </c>
      <c r="N323">
        <v>2</v>
      </c>
      <c r="O323" t="str">
        <f>VLOOKUP(N323, Lookups!$B$6:$C$12, 2, FALSE)</f>
        <v>Monday</v>
      </c>
      <c r="P323" s="2">
        <v>0.9243055555555556</v>
      </c>
      <c r="Q323">
        <v>-1</v>
      </c>
      <c r="R323" t="s">
        <v>47</v>
      </c>
      <c r="S323" t="s">
        <v>45</v>
      </c>
      <c r="T323" t="s">
        <v>45</v>
      </c>
      <c r="U323">
        <v>1</v>
      </c>
      <c r="V323" t="str">
        <f>VLOOKUP(U323, Lookups!$B$51:$C$57, 2, FALSE)</f>
        <v>M</v>
      </c>
      <c r="W323">
        <v>42</v>
      </c>
      <c r="X323" t="str">
        <f t="shared" si="42"/>
        <v>M42</v>
      </c>
      <c r="Y323">
        <v>3</v>
      </c>
      <c r="Z323" t="str">
        <f>VLOOKUP(Y323, Lookups!$B$14:$C$21, 2, FALSE)</f>
        <v>Dual carriageway</v>
      </c>
      <c r="AA323">
        <v>70</v>
      </c>
      <c r="AB323">
        <v>-1</v>
      </c>
      <c r="AC323">
        <v>0</v>
      </c>
      <c r="AD323">
        <v>-1</v>
      </c>
      <c r="AE323">
        <v>0</v>
      </c>
      <c r="AF323">
        <v>-1</v>
      </c>
      <c r="AG323">
        <v>-1</v>
      </c>
      <c r="AH323">
        <v>-1</v>
      </c>
      <c r="AI323">
        <v>0</v>
      </c>
      <c r="AJ323">
        <v>4</v>
      </c>
      <c r="AK323" t="str">
        <f>VLOOKUP(AJ323, Lookups!$B$23:$C$28, 2, FALSE)</f>
        <v>Darkness (Lit)</v>
      </c>
      <c r="AL323">
        <v>2</v>
      </c>
      <c r="AM323" t="str">
        <f>VLOOKUP(AL323, Lookups!$B$30:$C$39, 2, FALSE)</f>
        <v>Rain</v>
      </c>
      <c r="AN323">
        <v>4</v>
      </c>
      <c r="AO323" t="str">
        <f>VLOOKUP(AN323, Lookups!$B$41:$C$49, 2, FALSE)</f>
        <v>Frost or ice</v>
      </c>
      <c r="AP323">
        <v>-1</v>
      </c>
      <c r="AQ323">
        <v>-1</v>
      </c>
      <c r="AR323">
        <v>0</v>
      </c>
      <c r="AS323">
        <v>2</v>
      </c>
      <c r="AT323">
        <v>1</v>
      </c>
      <c r="AU323">
        <v>1</v>
      </c>
      <c r="AV323" t="s">
        <v>77</v>
      </c>
      <c r="AW323">
        <v>3</v>
      </c>
      <c r="AX323">
        <v>1</v>
      </c>
      <c r="AY323">
        <v>0</v>
      </c>
      <c r="AZ323">
        <v>1</v>
      </c>
    </row>
    <row r="324" spans="1:52" x14ac:dyDescent="0.35">
      <c r="A324">
        <v>2025221585758</v>
      </c>
      <c r="B324">
        <v>2025</v>
      </c>
      <c r="C324">
        <v>221585758</v>
      </c>
      <c r="D324">
        <v>396950</v>
      </c>
      <c r="E324">
        <v>273584</v>
      </c>
      <c r="F324">
        <v>-2.0462099999999999</v>
      </c>
      <c r="G324">
        <v>52.360300000000002</v>
      </c>
      <c r="H324">
        <v>22</v>
      </c>
      <c r="I324">
        <v>2</v>
      </c>
      <c r="J324" t="str">
        <f>VLOOKUP(I324, Lookups!$B$1:$C$4, 2, FALSE)</f>
        <v>Serious</v>
      </c>
      <c r="K324">
        <v>2</v>
      </c>
      <c r="L324">
        <v>3</v>
      </c>
      <c r="M324" s="1">
        <v>45781</v>
      </c>
      <c r="N324">
        <v>1</v>
      </c>
      <c r="O324" t="str">
        <f>VLOOKUP(N324, Lookups!$B$6:$C$12, 2, FALSE)</f>
        <v>Sunday</v>
      </c>
      <c r="P324" s="2">
        <v>0.76388888888888884</v>
      </c>
      <c r="Q324">
        <v>-1</v>
      </c>
      <c r="R324" t="s">
        <v>47</v>
      </c>
      <c r="S324" t="s">
        <v>45</v>
      </c>
      <c r="T324" t="s">
        <v>45</v>
      </c>
      <c r="U324">
        <v>3</v>
      </c>
      <c r="V324" t="str">
        <f>VLOOKUP(U324, Lookups!$B$51:$C$57, 2, FALSE)</f>
        <v>A</v>
      </c>
      <c r="W324">
        <v>38</v>
      </c>
      <c r="X324" t="str">
        <f t="shared" si="42"/>
        <v>A38</v>
      </c>
      <c r="Y324">
        <v>6</v>
      </c>
      <c r="Z324" t="str">
        <f>VLOOKUP(Y324, Lookups!$B$14:$C$21, 2, FALSE)</f>
        <v>Single carriageway</v>
      </c>
      <c r="AA324">
        <v>40</v>
      </c>
      <c r="AB324">
        <v>-1</v>
      </c>
      <c r="AC324">
        <v>0</v>
      </c>
      <c r="AD324">
        <v>-1</v>
      </c>
      <c r="AE324">
        <v>6</v>
      </c>
      <c r="AF324">
        <v>0</v>
      </c>
      <c r="AG324">
        <v>-1</v>
      </c>
      <c r="AH324">
        <v>-1</v>
      </c>
      <c r="AI324">
        <v>0</v>
      </c>
      <c r="AJ324">
        <v>1</v>
      </c>
      <c r="AK324" t="str">
        <f>VLOOKUP(AJ324, Lookups!$B$23:$C$28, 2, FALSE)</f>
        <v>Daylight</v>
      </c>
      <c r="AL324">
        <v>1</v>
      </c>
      <c r="AM324" t="str">
        <f>VLOOKUP(AL324, Lookups!$B$30:$C$39, 2, FALSE)</f>
        <v>Fine / Clear</v>
      </c>
      <c r="AN324">
        <v>1</v>
      </c>
      <c r="AO324" t="str">
        <f>VLOOKUP(AN324, Lookups!$B$41:$C$49, 2, FALSE)</f>
        <v>Dry</v>
      </c>
      <c r="AP324">
        <v>-1</v>
      </c>
      <c r="AQ324">
        <v>-1</v>
      </c>
      <c r="AR324">
        <v>0</v>
      </c>
      <c r="AS324">
        <v>2</v>
      </c>
      <c r="AT324">
        <v>1</v>
      </c>
      <c r="AU324">
        <v>2</v>
      </c>
      <c r="AV324" t="s">
        <v>232</v>
      </c>
      <c r="AW324">
        <v>6</v>
      </c>
      <c r="AX324">
        <v>1</v>
      </c>
      <c r="AY324">
        <v>1</v>
      </c>
      <c r="AZ324">
        <v>0</v>
      </c>
    </row>
    <row r="325" spans="1:52" x14ac:dyDescent="0.35">
      <c r="A325">
        <v>2025221605456</v>
      </c>
      <c r="B325">
        <v>2025</v>
      </c>
      <c r="C325">
        <v>221605456</v>
      </c>
      <c r="D325">
        <v>384947</v>
      </c>
      <c r="E325">
        <v>255138</v>
      </c>
      <c r="F325">
        <v>-2.2216399999999998</v>
      </c>
      <c r="G325">
        <v>52.194270000000003</v>
      </c>
      <c r="H325">
        <v>22</v>
      </c>
      <c r="I325">
        <v>3</v>
      </c>
      <c r="J325" t="str">
        <f>VLOOKUP(I325, Lookups!$B$1:$C$4, 2, FALSE)</f>
        <v>Slight</v>
      </c>
      <c r="K325">
        <v>2</v>
      </c>
      <c r="L325">
        <v>1</v>
      </c>
      <c r="M325" s="1">
        <v>45828</v>
      </c>
      <c r="N325">
        <v>6</v>
      </c>
      <c r="O325" t="str">
        <f>VLOOKUP(N325, Lookups!$B$6:$C$12, 2, FALSE)</f>
        <v>Friday</v>
      </c>
      <c r="P325" s="2">
        <v>0.30555555555555558</v>
      </c>
      <c r="Q325">
        <v>-1</v>
      </c>
      <c r="R325" t="s">
        <v>60</v>
      </c>
      <c r="S325" t="s">
        <v>45</v>
      </c>
      <c r="T325" t="s">
        <v>45</v>
      </c>
      <c r="U325">
        <v>3</v>
      </c>
      <c r="V325" t="str">
        <f>VLOOKUP(U325, Lookups!$B$51:$C$57, 2, FALSE)</f>
        <v>A</v>
      </c>
      <c r="W325">
        <v>38</v>
      </c>
      <c r="X325" t="str">
        <f t="shared" si="42"/>
        <v>A38</v>
      </c>
      <c r="Y325">
        <v>6</v>
      </c>
      <c r="Z325" t="str">
        <f>VLOOKUP(Y325, Lookups!$B$14:$C$21, 2, FALSE)</f>
        <v>Single carriageway</v>
      </c>
      <c r="AA325">
        <v>30</v>
      </c>
      <c r="AB325">
        <v>-1</v>
      </c>
      <c r="AC325">
        <v>16</v>
      </c>
      <c r="AD325">
        <v>2</v>
      </c>
      <c r="AE325">
        <v>4</v>
      </c>
      <c r="AF325">
        <v>4205</v>
      </c>
      <c r="AG325">
        <v>-1</v>
      </c>
      <c r="AH325">
        <v>-1</v>
      </c>
      <c r="AI325">
        <v>15</v>
      </c>
      <c r="AJ325">
        <v>1</v>
      </c>
      <c r="AK325" t="str">
        <f>VLOOKUP(AJ325, Lookups!$B$23:$C$28, 2, FALSE)</f>
        <v>Daylight</v>
      </c>
      <c r="AL325">
        <v>1</v>
      </c>
      <c r="AM325" t="str">
        <f>VLOOKUP(AL325, Lookups!$B$30:$C$39, 2, FALSE)</f>
        <v>Fine / Clear</v>
      </c>
      <c r="AN325">
        <v>1</v>
      </c>
      <c r="AO325" t="str">
        <f>VLOOKUP(AN325, Lookups!$B$41:$C$49, 2, FALSE)</f>
        <v>Dry</v>
      </c>
      <c r="AP325">
        <v>-1</v>
      </c>
      <c r="AQ325">
        <v>-1</v>
      </c>
      <c r="AR325">
        <v>0</v>
      </c>
      <c r="AS325">
        <v>1</v>
      </c>
      <c r="AT325">
        <v>1</v>
      </c>
      <c r="AU325">
        <v>2</v>
      </c>
      <c r="AV325" t="s">
        <v>88</v>
      </c>
      <c r="AW325">
        <v>3</v>
      </c>
      <c r="AX325">
        <v>1</v>
      </c>
      <c r="AY325">
        <v>0</v>
      </c>
      <c r="AZ325">
        <v>1</v>
      </c>
    </row>
    <row r="326" spans="1:52" x14ac:dyDescent="0.35">
      <c r="A326">
        <v>2025221611222</v>
      </c>
      <c r="B326">
        <v>2025</v>
      </c>
      <c r="C326">
        <v>221611222</v>
      </c>
      <c r="D326">
        <v>375843</v>
      </c>
      <c r="E326">
        <v>252064</v>
      </c>
      <c r="F326">
        <v>-2.3546</v>
      </c>
      <c r="G326">
        <v>52.166310000000003</v>
      </c>
      <c r="H326">
        <v>22</v>
      </c>
      <c r="I326">
        <v>2</v>
      </c>
      <c r="J326" t="str">
        <f>VLOOKUP(I326, Lookups!$B$1:$C$4, 2, FALSE)</f>
        <v>Serious</v>
      </c>
      <c r="K326">
        <v>2</v>
      </c>
      <c r="L326">
        <v>2</v>
      </c>
      <c r="M326" s="1">
        <v>45841</v>
      </c>
      <c r="N326">
        <v>5</v>
      </c>
      <c r="O326" t="str">
        <f>VLOOKUP(N326, Lookups!$B$6:$C$12, 2, FALSE)</f>
        <v>Thursday</v>
      </c>
      <c r="P326" s="2">
        <v>0.62916666666666665</v>
      </c>
      <c r="Q326">
        <v>-1</v>
      </c>
      <c r="R326" t="s">
        <v>49</v>
      </c>
      <c r="S326" t="s">
        <v>45</v>
      </c>
      <c r="T326" t="s">
        <v>45</v>
      </c>
      <c r="U326">
        <v>6</v>
      </c>
      <c r="V326" t="str">
        <f>VLOOKUP(U326, Lookups!$B$51:$C$57, 2, FALSE)</f>
        <v>Unclassified</v>
      </c>
      <c r="W326">
        <v>0</v>
      </c>
      <c r="X326" t="s">
        <v>362</v>
      </c>
      <c r="Y326">
        <v>6</v>
      </c>
      <c r="Z326" t="str">
        <f>VLOOKUP(Y326, Lookups!$B$14:$C$21, 2, FALSE)</f>
        <v>Single carriageway</v>
      </c>
      <c r="AA326">
        <v>60</v>
      </c>
      <c r="AB326">
        <v>-1</v>
      </c>
      <c r="AC326">
        <v>0</v>
      </c>
      <c r="AD326">
        <v>-1</v>
      </c>
      <c r="AE326">
        <v>0</v>
      </c>
      <c r="AF326">
        <v>-1</v>
      </c>
      <c r="AG326">
        <v>-1</v>
      </c>
      <c r="AH326">
        <v>-1</v>
      </c>
      <c r="AI326">
        <v>0</v>
      </c>
      <c r="AJ326">
        <v>1</v>
      </c>
      <c r="AK326" t="str">
        <f>VLOOKUP(AJ326, Lookups!$B$23:$C$28, 2, FALSE)</f>
        <v>Daylight</v>
      </c>
      <c r="AL326">
        <v>1</v>
      </c>
      <c r="AM326" t="str">
        <f>VLOOKUP(AL326, Lookups!$B$30:$C$39, 2, FALSE)</f>
        <v>Fine / Clear</v>
      </c>
      <c r="AN326">
        <v>1</v>
      </c>
      <c r="AO326" t="str">
        <f>VLOOKUP(AN326, Lookups!$B$41:$C$49, 2, FALSE)</f>
        <v>Dry</v>
      </c>
      <c r="AP326">
        <v>-1</v>
      </c>
      <c r="AQ326">
        <v>-1</v>
      </c>
      <c r="AR326">
        <v>0</v>
      </c>
      <c r="AS326">
        <v>2</v>
      </c>
      <c r="AT326">
        <v>1</v>
      </c>
      <c r="AU326">
        <v>2</v>
      </c>
      <c r="AV326" t="s">
        <v>233</v>
      </c>
      <c r="AW326">
        <v>7</v>
      </c>
      <c r="AX326">
        <v>1</v>
      </c>
      <c r="AY326">
        <v>1</v>
      </c>
      <c r="AZ326">
        <v>0</v>
      </c>
    </row>
    <row r="327" spans="1:52" x14ac:dyDescent="0.35">
      <c r="A327">
        <v>2025221634897</v>
      </c>
      <c r="B327">
        <v>2025</v>
      </c>
      <c r="C327">
        <v>221634897</v>
      </c>
      <c r="D327">
        <v>401770</v>
      </c>
      <c r="E327">
        <v>264694</v>
      </c>
      <c r="F327">
        <v>-1.9754799999999999</v>
      </c>
      <c r="G327">
        <v>52.280389999999997</v>
      </c>
      <c r="H327">
        <v>22</v>
      </c>
      <c r="I327">
        <v>3</v>
      </c>
      <c r="J327" t="str">
        <f>VLOOKUP(I327, Lookups!$B$1:$C$4, 2, FALSE)</f>
        <v>Slight</v>
      </c>
      <c r="K327">
        <v>2</v>
      </c>
      <c r="L327">
        <v>3</v>
      </c>
      <c r="M327" s="1">
        <v>45898</v>
      </c>
      <c r="N327">
        <v>6</v>
      </c>
      <c r="O327" t="str">
        <f>VLOOKUP(N327, Lookups!$B$6:$C$12, 2, FALSE)</f>
        <v>Friday</v>
      </c>
      <c r="P327" s="2">
        <v>0.52083333333333337</v>
      </c>
      <c r="Q327">
        <v>-1</v>
      </c>
      <c r="R327" t="s">
        <v>69</v>
      </c>
      <c r="S327" t="s">
        <v>45</v>
      </c>
      <c r="T327" t="s">
        <v>45</v>
      </c>
      <c r="U327">
        <v>6</v>
      </c>
      <c r="V327" t="str">
        <f>VLOOKUP(U327, Lookups!$B$51:$C$57, 2, FALSE)</f>
        <v>Unclassified</v>
      </c>
      <c r="W327">
        <v>0</v>
      </c>
      <c r="X327" t="s">
        <v>362</v>
      </c>
      <c r="Y327">
        <v>6</v>
      </c>
      <c r="Z327" t="str">
        <f>VLOOKUP(Y327, Lookups!$B$14:$C$21, 2, FALSE)</f>
        <v>Single carriageway</v>
      </c>
      <c r="AA327">
        <v>60</v>
      </c>
      <c r="AB327">
        <v>-1</v>
      </c>
      <c r="AC327">
        <v>16</v>
      </c>
      <c r="AD327">
        <v>4</v>
      </c>
      <c r="AE327">
        <v>6</v>
      </c>
      <c r="AF327">
        <v>0</v>
      </c>
      <c r="AG327">
        <v>-1</v>
      </c>
      <c r="AH327">
        <v>-1</v>
      </c>
      <c r="AI327">
        <v>0</v>
      </c>
      <c r="AJ327">
        <v>1</v>
      </c>
      <c r="AK327" t="str">
        <f>VLOOKUP(AJ327, Lookups!$B$23:$C$28, 2, FALSE)</f>
        <v>Daylight</v>
      </c>
      <c r="AL327">
        <v>1</v>
      </c>
      <c r="AM327" t="str">
        <f>VLOOKUP(AL327, Lookups!$B$30:$C$39, 2, FALSE)</f>
        <v>Fine / Clear</v>
      </c>
      <c r="AN327">
        <v>1</v>
      </c>
      <c r="AO327" t="str">
        <f>VLOOKUP(AN327, Lookups!$B$41:$C$49, 2, FALSE)</f>
        <v>Dry</v>
      </c>
      <c r="AP327">
        <v>-1</v>
      </c>
      <c r="AQ327">
        <v>-1</v>
      </c>
      <c r="AR327">
        <v>0</v>
      </c>
      <c r="AS327">
        <v>1</v>
      </c>
      <c r="AT327">
        <v>1</v>
      </c>
      <c r="AU327">
        <v>2</v>
      </c>
      <c r="AV327" t="s">
        <v>234</v>
      </c>
      <c r="AW327">
        <v>3</v>
      </c>
      <c r="AX327">
        <v>1</v>
      </c>
      <c r="AY327">
        <v>0</v>
      </c>
      <c r="AZ327">
        <v>1</v>
      </c>
    </row>
    <row r="328" spans="1:52" x14ac:dyDescent="0.35">
      <c r="A328">
        <v>2025221682596</v>
      </c>
      <c r="B328">
        <v>2025</v>
      </c>
      <c r="C328">
        <v>221682596</v>
      </c>
      <c r="D328">
        <v>379362</v>
      </c>
      <c r="E328">
        <v>275718</v>
      </c>
      <c r="F328">
        <v>-2.3046099999999998</v>
      </c>
      <c r="G328">
        <v>52.379109999999997</v>
      </c>
      <c r="H328">
        <v>22</v>
      </c>
      <c r="I328">
        <v>3</v>
      </c>
      <c r="J328" t="str">
        <f>VLOOKUP(I328, Lookups!$B$1:$C$4, 2, FALSE)</f>
        <v>Slight</v>
      </c>
      <c r="K328">
        <v>3</v>
      </c>
      <c r="L328">
        <v>1</v>
      </c>
      <c r="M328" s="1">
        <v>46004</v>
      </c>
      <c r="N328">
        <v>7</v>
      </c>
      <c r="O328" t="str">
        <f>VLOOKUP(N328, Lookups!$B$6:$C$12, 2, FALSE)</f>
        <v>Saturday</v>
      </c>
      <c r="P328" s="2">
        <v>0.60069444444444442</v>
      </c>
      <c r="Q328">
        <v>-1</v>
      </c>
      <c r="R328" t="s">
        <v>44</v>
      </c>
      <c r="S328" t="s">
        <v>45</v>
      </c>
      <c r="T328" t="s">
        <v>45</v>
      </c>
      <c r="U328">
        <v>4</v>
      </c>
      <c r="V328" t="str">
        <f>VLOOKUP(U328, Lookups!$B$51:$C$57, 2, FALSE)</f>
        <v>B</v>
      </c>
      <c r="W328">
        <v>4190</v>
      </c>
      <c r="X328" t="str">
        <f t="shared" ref="X328:X331" si="43">V328&amp;W328</f>
        <v>B4190</v>
      </c>
      <c r="Y328">
        <v>6</v>
      </c>
      <c r="Z328" t="str">
        <f>VLOOKUP(Y328, Lookups!$B$14:$C$21, 2, FALSE)</f>
        <v>Single carriageway</v>
      </c>
      <c r="AA328">
        <v>30</v>
      </c>
      <c r="AB328">
        <v>-1</v>
      </c>
      <c r="AC328">
        <v>13</v>
      </c>
      <c r="AD328">
        <v>4</v>
      </c>
      <c r="AE328">
        <v>6</v>
      </c>
      <c r="AF328">
        <v>0</v>
      </c>
      <c r="AG328">
        <v>-1</v>
      </c>
      <c r="AH328">
        <v>-1</v>
      </c>
      <c r="AI328">
        <v>0</v>
      </c>
      <c r="AJ328">
        <v>1</v>
      </c>
      <c r="AK328" t="str">
        <f>VLOOKUP(AJ328, Lookups!$B$23:$C$28, 2, FALSE)</f>
        <v>Daylight</v>
      </c>
      <c r="AL328">
        <v>1</v>
      </c>
      <c r="AM328" t="str">
        <f>VLOOKUP(AL328, Lookups!$B$30:$C$39, 2, FALSE)</f>
        <v>Fine / Clear</v>
      </c>
      <c r="AN328">
        <v>2</v>
      </c>
      <c r="AO328" t="str">
        <f>VLOOKUP(AN328, Lookups!$B$41:$C$49, 2, FALSE)</f>
        <v>Wet / damp</v>
      </c>
      <c r="AP328">
        <v>-1</v>
      </c>
      <c r="AQ328">
        <v>-1</v>
      </c>
      <c r="AR328">
        <v>0</v>
      </c>
      <c r="AS328">
        <v>2</v>
      </c>
      <c r="AT328">
        <v>1</v>
      </c>
      <c r="AU328">
        <v>2</v>
      </c>
      <c r="AV328" t="s">
        <v>135</v>
      </c>
      <c r="AW328">
        <v>3</v>
      </c>
      <c r="AX328">
        <v>1</v>
      </c>
      <c r="AY328">
        <v>0</v>
      </c>
      <c r="AZ328">
        <v>1</v>
      </c>
    </row>
    <row r="329" spans="1:52" x14ac:dyDescent="0.35">
      <c r="A329">
        <v>2025221565650</v>
      </c>
      <c r="B329">
        <v>2025</v>
      </c>
      <c r="C329">
        <v>221565650</v>
      </c>
      <c r="D329">
        <v>387576</v>
      </c>
      <c r="E329">
        <v>252520</v>
      </c>
      <c r="F329">
        <v>-2.1830799999999999</v>
      </c>
      <c r="G329">
        <v>52.1708</v>
      </c>
      <c r="H329">
        <v>22</v>
      </c>
      <c r="I329">
        <v>3</v>
      </c>
      <c r="J329" t="str">
        <f>VLOOKUP(I329, Lookups!$B$1:$C$4, 2, FALSE)</f>
        <v>Slight</v>
      </c>
      <c r="K329">
        <v>2</v>
      </c>
      <c r="L329">
        <v>1</v>
      </c>
      <c r="M329" s="1">
        <v>45728</v>
      </c>
      <c r="N329">
        <v>4</v>
      </c>
      <c r="O329" t="str">
        <f>VLOOKUP(N329, Lookups!$B$6:$C$12, 2, FALSE)</f>
        <v>Wednesday</v>
      </c>
      <c r="P329" s="2">
        <v>0.34652777777777777</v>
      </c>
      <c r="Q329">
        <v>-1</v>
      </c>
      <c r="R329" t="s">
        <v>54</v>
      </c>
      <c r="S329" t="s">
        <v>45</v>
      </c>
      <c r="T329" t="s">
        <v>45</v>
      </c>
      <c r="U329">
        <v>3</v>
      </c>
      <c r="V329" t="str">
        <f>VLOOKUP(U329, Lookups!$B$51:$C$57, 2, FALSE)</f>
        <v>A</v>
      </c>
      <c r="W329">
        <v>44</v>
      </c>
      <c r="X329" t="str">
        <f t="shared" si="43"/>
        <v>A44</v>
      </c>
      <c r="Y329">
        <v>3</v>
      </c>
      <c r="Z329" t="str">
        <f>VLOOKUP(Y329, Lookups!$B$14:$C$21, 2, FALSE)</f>
        <v>Dual carriageway</v>
      </c>
      <c r="AA329">
        <v>40</v>
      </c>
      <c r="AB329">
        <v>-1</v>
      </c>
      <c r="AC329">
        <v>0</v>
      </c>
      <c r="AD329">
        <v>-1</v>
      </c>
      <c r="AE329">
        <v>3</v>
      </c>
      <c r="AF329">
        <v>44</v>
      </c>
      <c r="AG329">
        <v>-1</v>
      </c>
      <c r="AH329">
        <v>-1</v>
      </c>
      <c r="AI329">
        <v>0</v>
      </c>
      <c r="AJ329">
        <v>1</v>
      </c>
      <c r="AK329" t="str">
        <f>VLOOKUP(AJ329, Lookups!$B$23:$C$28, 2, FALSE)</f>
        <v>Daylight</v>
      </c>
      <c r="AL329">
        <v>1</v>
      </c>
      <c r="AM329" t="str">
        <f>VLOOKUP(AL329, Lookups!$B$30:$C$39, 2, FALSE)</f>
        <v>Fine / Clear</v>
      </c>
      <c r="AN329">
        <v>2</v>
      </c>
      <c r="AO329" t="str">
        <f>VLOOKUP(AN329, Lookups!$B$41:$C$49, 2, FALSE)</f>
        <v>Wet / damp</v>
      </c>
      <c r="AP329">
        <v>-1</v>
      </c>
      <c r="AQ329">
        <v>-1</v>
      </c>
      <c r="AR329">
        <v>0</v>
      </c>
      <c r="AS329">
        <v>2</v>
      </c>
      <c r="AT329">
        <v>1</v>
      </c>
      <c r="AU329">
        <v>2</v>
      </c>
      <c r="AV329" t="s">
        <v>132</v>
      </c>
      <c r="AW329">
        <v>3</v>
      </c>
      <c r="AX329">
        <v>1</v>
      </c>
      <c r="AY329">
        <v>0</v>
      </c>
      <c r="AZ329">
        <v>1</v>
      </c>
    </row>
    <row r="330" spans="1:52" x14ac:dyDescent="0.35">
      <c r="A330">
        <v>2025221577236</v>
      </c>
      <c r="B330">
        <v>2025</v>
      </c>
      <c r="C330">
        <v>221577236</v>
      </c>
      <c r="D330">
        <v>404969</v>
      </c>
      <c r="E330">
        <v>264913</v>
      </c>
      <c r="F330">
        <v>-1.92858</v>
      </c>
      <c r="G330">
        <v>52.282339999999998</v>
      </c>
      <c r="H330">
        <v>22</v>
      </c>
      <c r="I330">
        <v>2</v>
      </c>
      <c r="J330" t="str">
        <f>VLOOKUP(I330, Lookups!$B$1:$C$4, 2, FALSE)</f>
        <v>Serious</v>
      </c>
      <c r="K330">
        <v>2</v>
      </c>
      <c r="L330">
        <v>1</v>
      </c>
      <c r="M330" s="1">
        <v>45758</v>
      </c>
      <c r="N330">
        <v>6</v>
      </c>
      <c r="O330" t="str">
        <f>VLOOKUP(N330, Lookups!$B$6:$C$12, 2, FALSE)</f>
        <v>Friday</v>
      </c>
      <c r="P330" s="2">
        <v>0.49305555555555558</v>
      </c>
      <c r="Q330">
        <v>-1</v>
      </c>
      <c r="R330" t="s">
        <v>69</v>
      </c>
      <c r="S330" t="s">
        <v>45</v>
      </c>
      <c r="T330" t="s">
        <v>45</v>
      </c>
      <c r="U330">
        <v>3</v>
      </c>
      <c r="V330" t="str">
        <f>VLOOKUP(U330, Lookups!$B$51:$C$57, 2, FALSE)</f>
        <v>A</v>
      </c>
      <c r="W330">
        <v>441</v>
      </c>
      <c r="X330" t="str">
        <f t="shared" si="43"/>
        <v>A441</v>
      </c>
      <c r="Y330">
        <v>1</v>
      </c>
      <c r="Z330" t="str">
        <f>VLOOKUP(Y330, Lookups!$B$14:$C$21, 2, FALSE)</f>
        <v>Roundabout</v>
      </c>
      <c r="AA330">
        <v>30</v>
      </c>
      <c r="AB330">
        <v>-1</v>
      </c>
      <c r="AC330">
        <v>-1</v>
      </c>
      <c r="AD330">
        <v>4</v>
      </c>
      <c r="AE330">
        <v>3</v>
      </c>
      <c r="AF330">
        <v>441</v>
      </c>
      <c r="AG330">
        <v>-1</v>
      </c>
      <c r="AH330">
        <v>-1</v>
      </c>
      <c r="AI330">
        <v>0</v>
      </c>
      <c r="AJ330">
        <v>1</v>
      </c>
      <c r="AK330" t="str">
        <f>VLOOKUP(AJ330, Lookups!$B$23:$C$28, 2, FALSE)</f>
        <v>Daylight</v>
      </c>
      <c r="AL330">
        <v>1</v>
      </c>
      <c r="AM330" t="str">
        <f>VLOOKUP(AL330, Lookups!$B$30:$C$39, 2, FALSE)</f>
        <v>Fine / Clear</v>
      </c>
      <c r="AN330">
        <v>1</v>
      </c>
      <c r="AO330" t="str">
        <f>VLOOKUP(AN330, Lookups!$B$41:$C$49, 2, FALSE)</f>
        <v>Dry</v>
      </c>
      <c r="AP330">
        <v>-1</v>
      </c>
      <c r="AQ330">
        <v>-1</v>
      </c>
      <c r="AR330">
        <v>0</v>
      </c>
      <c r="AS330">
        <v>2</v>
      </c>
      <c r="AT330">
        <v>3</v>
      </c>
      <c r="AU330">
        <v>2</v>
      </c>
      <c r="AV330" t="s">
        <v>235</v>
      </c>
      <c r="AW330">
        <v>7</v>
      </c>
      <c r="AX330">
        <v>1</v>
      </c>
      <c r="AY330">
        <v>1</v>
      </c>
      <c r="AZ330">
        <v>0</v>
      </c>
    </row>
    <row r="331" spans="1:52" x14ac:dyDescent="0.35">
      <c r="A331">
        <v>2025221686775</v>
      </c>
      <c r="B331">
        <v>2025</v>
      </c>
      <c r="C331">
        <v>221686775</v>
      </c>
      <c r="D331">
        <v>383461</v>
      </c>
      <c r="E331">
        <v>276830</v>
      </c>
      <c r="F331">
        <v>-2.2444500000000001</v>
      </c>
      <c r="G331">
        <v>52.389240000000001</v>
      </c>
      <c r="H331">
        <v>22</v>
      </c>
      <c r="I331">
        <v>3</v>
      </c>
      <c r="J331" t="str">
        <f>VLOOKUP(I331, Lookups!$B$1:$C$4, 2, FALSE)</f>
        <v>Slight</v>
      </c>
      <c r="K331">
        <v>2</v>
      </c>
      <c r="L331">
        <v>1</v>
      </c>
      <c r="M331" s="1">
        <v>46013</v>
      </c>
      <c r="N331">
        <v>2</v>
      </c>
      <c r="O331" t="str">
        <f>VLOOKUP(N331, Lookups!$B$6:$C$12, 2, FALSE)</f>
        <v>Monday</v>
      </c>
      <c r="P331" s="2">
        <v>0.69791666666666663</v>
      </c>
      <c r="Q331">
        <v>-1</v>
      </c>
      <c r="R331" t="s">
        <v>44</v>
      </c>
      <c r="S331" t="s">
        <v>45</v>
      </c>
      <c r="T331" t="s">
        <v>45</v>
      </c>
      <c r="U331">
        <v>3</v>
      </c>
      <c r="V331" t="str">
        <f>VLOOKUP(U331, Lookups!$B$51:$C$57, 2, FALSE)</f>
        <v>A</v>
      </c>
      <c r="W331">
        <v>456</v>
      </c>
      <c r="X331" t="str">
        <f t="shared" si="43"/>
        <v>A456</v>
      </c>
      <c r="Y331">
        <v>1</v>
      </c>
      <c r="Z331" t="str">
        <f>VLOOKUP(Y331, Lookups!$B$14:$C$21, 2, FALSE)</f>
        <v>Roundabout</v>
      </c>
      <c r="AA331">
        <v>30</v>
      </c>
      <c r="AB331">
        <v>-1</v>
      </c>
      <c r="AC331">
        <v>-1</v>
      </c>
      <c r="AD331">
        <v>4</v>
      </c>
      <c r="AE331">
        <v>3</v>
      </c>
      <c r="AF331">
        <v>456</v>
      </c>
      <c r="AG331">
        <v>-1</v>
      </c>
      <c r="AH331">
        <v>-1</v>
      </c>
      <c r="AI331">
        <v>0</v>
      </c>
      <c r="AJ331">
        <v>4</v>
      </c>
      <c r="AK331" t="str">
        <f>VLOOKUP(AJ331, Lookups!$B$23:$C$28, 2, FALSE)</f>
        <v>Darkness (Lit)</v>
      </c>
      <c r="AL331">
        <v>1</v>
      </c>
      <c r="AM331" t="str">
        <f>VLOOKUP(AL331, Lookups!$B$30:$C$39, 2, FALSE)</f>
        <v>Fine / Clear</v>
      </c>
      <c r="AN331">
        <v>1</v>
      </c>
      <c r="AO331" t="str">
        <f>VLOOKUP(AN331, Lookups!$B$41:$C$49, 2, FALSE)</f>
        <v>Dry</v>
      </c>
      <c r="AP331">
        <v>-1</v>
      </c>
      <c r="AQ331">
        <v>-1</v>
      </c>
      <c r="AR331">
        <v>0</v>
      </c>
      <c r="AS331">
        <v>1</v>
      </c>
      <c r="AT331">
        <v>3</v>
      </c>
      <c r="AU331">
        <v>2</v>
      </c>
      <c r="AV331" t="s">
        <v>170</v>
      </c>
      <c r="AW331">
        <v>3</v>
      </c>
      <c r="AX331">
        <v>1</v>
      </c>
      <c r="AY331">
        <v>0</v>
      </c>
      <c r="AZ331">
        <v>1</v>
      </c>
    </row>
    <row r="332" spans="1:52" x14ac:dyDescent="0.35">
      <c r="A332">
        <v>2025221590083</v>
      </c>
      <c r="B332">
        <v>2025</v>
      </c>
      <c r="C332">
        <v>221590083</v>
      </c>
      <c r="D332">
        <v>396328</v>
      </c>
      <c r="E332">
        <v>274511</v>
      </c>
      <c r="F332">
        <v>-2.0553599999999999</v>
      </c>
      <c r="G332">
        <v>52.368630000000003</v>
      </c>
      <c r="H332">
        <v>22</v>
      </c>
      <c r="I332">
        <v>2</v>
      </c>
      <c r="J332" t="str">
        <f>VLOOKUP(I332, Lookups!$B$1:$C$4, 2, FALSE)</f>
        <v>Serious</v>
      </c>
      <c r="K332">
        <v>1</v>
      </c>
      <c r="L332">
        <v>1</v>
      </c>
      <c r="M332" s="1">
        <v>45791</v>
      </c>
      <c r="N332">
        <v>4</v>
      </c>
      <c r="O332" t="str">
        <f>VLOOKUP(N332, Lookups!$B$6:$C$12, 2, FALSE)</f>
        <v>Wednesday</v>
      </c>
      <c r="P332" s="2">
        <v>0.81944444444444442</v>
      </c>
      <c r="Q332">
        <v>-1</v>
      </c>
      <c r="R332" t="s">
        <v>47</v>
      </c>
      <c r="S332" t="s">
        <v>45</v>
      </c>
      <c r="T332" t="s">
        <v>45</v>
      </c>
      <c r="U332">
        <v>6</v>
      </c>
      <c r="V332" t="str">
        <f>VLOOKUP(U332, Lookups!$B$51:$C$57, 2, FALSE)</f>
        <v>Unclassified</v>
      </c>
      <c r="W332">
        <v>0</v>
      </c>
      <c r="X332" t="s">
        <v>362</v>
      </c>
      <c r="Y332">
        <v>6</v>
      </c>
      <c r="Z332" t="str">
        <f>VLOOKUP(Y332, Lookups!$B$14:$C$21, 2, FALSE)</f>
        <v>Single carriageway</v>
      </c>
      <c r="AA332">
        <v>30</v>
      </c>
      <c r="AB332">
        <v>-1</v>
      </c>
      <c r="AC332">
        <v>0</v>
      </c>
      <c r="AD332">
        <v>-1</v>
      </c>
      <c r="AE332">
        <v>6</v>
      </c>
      <c r="AF332">
        <v>0</v>
      </c>
      <c r="AG332">
        <v>-1</v>
      </c>
      <c r="AH332">
        <v>-1</v>
      </c>
      <c r="AI332">
        <v>0</v>
      </c>
      <c r="AJ332">
        <v>1</v>
      </c>
      <c r="AK332" t="str">
        <f>VLOOKUP(AJ332, Lookups!$B$23:$C$28, 2, FALSE)</f>
        <v>Daylight</v>
      </c>
      <c r="AL332">
        <v>1</v>
      </c>
      <c r="AM332" t="str">
        <f>VLOOKUP(AL332, Lookups!$B$30:$C$39, 2, FALSE)</f>
        <v>Fine / Clear</v>
      </c>
      <c r="AN332">
        <v>1</v>
      </c>
      <c r="AO332" t="str">
        <f>VLOOKUP(AN332, Lookups!$B$41:$C$49, 2, FALSE)</f>
        <v>Dry</v>
      </c>
      <c r="AP332">
        <v>-1</v>
      </c>
      <c r="AQ332">
        <v>-1</v>
      </c>
      <c r="AR332">
        <v>20</v>
      </c>
      <c r="AS332">
        <v>1</v>
      </c>
      <c r="AT332">
        <v>1</v>
      </c>
      <c r="AU332">
        <v>2</v>
      </c>
      <c r="AV332" t="s">
        <v>236</v>
      </c>
      <c r="AW332">
        <v>7</v>
      </c>
      <c r="AX332">
        <v>1</v>
      </c>
      <c r="AY332">
        <v>1</v>
      </c>
      <c r="AZ332">
        <v>0</v>
      </c>
    </row>
    <row r="333" spans="1:52" x14ac:dyDescent="0.35">
      <c r="A333">
        <v>2025221607621</v>
      </c>
      <c r="B333">
        <v>2025</v>
      </c>
      <c r="C333">
        <v>221607621</v>
      </c>
      <c r="D333">
        <v>404930</v>
      </c>
      <c r="E333">
        <v>242501</v>
      </c>
      <c r="F333">
        <v>-1.92947</v>
      </c>
      <c r="G333">
        <v>52.080849999999998</v>
      </c>
      <c r="H333">
        <v>22</v>
      </c>
      <c r="I333">
        <v>2</v>
      </c>
      <c r="J333" t="str">
        <f>VLOOKUP(I333, Lookups!$B$1:$C$4, 2, FALSE)</f>
        <v>Serious</v>
      </c>
      <c r="K333">
        <v>2</v>
      </c>
      <c r="L333">
        <v>1</v>
      </c>
      <c r="M333" s="1">
        <v>45833</v>
      </c>
      <c r="N333">
        <v>4</v>
      </c>
      <c r="O333" t="str">
        <f>VLOOKUP(N333, Lookups!$B$6:$C$12, 2, FALSE)</f>
        <v>Wednesday</v>
      </c>
      <c r="P333" s="2">
        <v>0.69791666666666663</v>
      </c>
      <c r="Q333">
        <v>-1</v>
      </c>
      <c r="R333" t="s">
        <v>54</v>
      </c>
      <c r="S333" t="s">
        <v>45</v>
      </c>
      <c r="T333" t="s">
        <v>45</v>
      </c>
      <c r="U333">
        <v>3</v>
      </c>
      <c r="V333" t="str">
        <f>VLOOKUP(U333, Lookups!$B$51:$C$57, 2, FALSE)</f>
        <v>A</v>
      </c>
      <c r="W333">
        <v>46</v>
      </c>
      <c r="X333" t="str">
        <f t="shared" ref="X333:X334" si="44">V333&amp;W333</f>
        <v>A46</v>
      </c>
      <c r="Y333">
        <v>6</v>
      </c>
      <c r="Z333" t="str">
        <f>VLOOKUP(Y333, Lookups!$B$14:$C$21, 2, FALSE)</f>
        <v>Single carriageway</v>
      </c>
      <c r="AA333">
        <v>60</v>
      </c>
      <c r="AB333">
        <v>-1</v>
      </c>
      <c r="AC333">
        <v>19</v>
      </c>
      <c r="AD333">
        <v>4</v>
      </c>
      <c r="AE333">
        <v>6</v>
      </c>
      <c r="AF333">
        <v>0</v>
      </c>
      <c r="AG333">
        <v>-1</v>
      </c>
      <c r="AH333">
        <v>-1</v>
      </c>
      <c r="AI333">
        <v>0</v>
      </c>
      <c r="AJ333">
        <v>1</v>
      </c>
      <c r="AK333" t="str">
        <f>VLOOKUP(AJ333, Lookups!$B$23:$C$28, 2, FALSE)</f>
        <v>Daylight</v>
      </c>
      <c r="AL333">
        <v>1</v>
      </c>
      <c r="AM333" t="str">
        <f>VLOOKUP(AL333, Lookups!$B$30:$C$39, 2, FALSE)</f>
        <v>Fine / Clear</v>
      </c>
      <c r="AN333">
        <v>1</v>
      </c>
      <c r="AO333" t="str">
        <f>VLOOKUP(AN333, Lookups!$B$41:$C$49, 2, FALSE)</f>
        <v>Dry</v>
      </c>
      <c r="AP333">
        <v>-1</v>
      </c>
      <c r="AQ333">
        <v>-1</v>
      </c>
      <c r="AR333">
        <v>0</v>
      </c>
      <c r="AS333">
        <v>2</v>
      </c>
      <c r="AT333">
        <v>1</v>
      </c>
      <c r="AU333">
        <v>1</v>
      </c>
      <c r="AV333" t="s">
        <v>202</v>
      </c>
      <c r="AW333">
        <v>7</v>
      </c>
      <c r="AX333">
        <v>1</v>
      </c>
      <c r="AY333">
        <v>1</v>
      </c>
      <c r="AZ333">
        <v>0</v>
      </c>
    </row>
    <row r="334" spans="1:52" x14ac:dyDescent="0.35">
      <c r="A334">
        <v>2025221678922</v>
      </c>
      <c r="B334">
        <v>2025</v>
      </c>
      <c r="C334">
        <v>221678922</v>
      </c>
      <c r="D334">
        <v>385945</v>
      </c>
      <c r="E334">
        <v>275104</v>
      </c>
      <c r="F334">
        <v>-2.2078799999999998</v>
      </c>
      <c r="G334">
        <v>52.373800000000003</v>
      </c>
      <c r="H334">
        <v>22</v>
      </c>
      <c r="I334">
        <v>3</v>
      </c>
      <c r="J334" t="str">
        <f>VLOOKUP(I334, Lookups!$B$1:$C$4, 2, FALSE)</f>
        <v>Slight</v>
      </c>
      <c r="K334">
        <v>3</v>
      </c>
      <c r="L334">
        <v>3</v>
      </c>
      <c r="M334" s="1">
        <v>45995</v>
      </c>
      <c r="N334">
        <v>5</v>
      </c>
      <c r="O334" t="str">
        <f>VLOOKUP(N334, Lookups!$B$6:$C$12, 2, FALSE)</f>
        <v>Thursday</v>
      </c>
      <c r="P334" s="2">
        <v>0.67291666666666672</v>
      </c>
      <c r="Q334">
        <v>-1</v>
      </c>
      <c r="R334" t="s">
        <v>44</v>
      </c>
      <c r="S334" t="s">
        <v>45</v>
      </c>
      <c r="T334" t="s">
        <v>45</v>
      </c>
      <c r="U334">
        <v>3</v>
      </c>
      <c r="V334" t="str">
        <f>VLOOKUP(U334, Lookups!$B$51:$C$57, 2, FALSE)</f>
        <v>A</v>
      </c>
      <c r="W334">
        <v>448</v>
      </c>
      <c r="X334" t="str">
        <f t="shared" si="44"/>
        <v>A448</v>
      </c>
      <c r="Y334">
        <v>6</v>
      </c>
      <c r="Z334" t="str">
        <f>VLOOKUP(Y334, Lookups!$B$14:$C$21, 2, FALSE)</f>
        <v>Single carriageway</v>
      </c>
      <c r="AA334">
        <v>50</v>
      </c>
      <c r="AB334">
        <v>-1</v>
      </c>
      <c r="AC334">
        <v>13</v>
      </c>
      <c r="AD334">
        <v>4</v>
      </c>
      <c r="AE334">
        <v>6</v>
      </c>
      <c r="AF334">
        <v>0</v>
      </c>
      <c r="AG334">
        <v>-1</v>
      </c>
      <c r="AH334">
        <v>-1</v>
      </c>
      <c r="AI334">
        <v>0</v>
      </c>
      <c r="AJ334">
        <v>6</v>
      </c>
      <c r="AK334" t="str">
        <f>VLOOKUP(AJ334, Lookups!$B$23:$C$28, 2, FALSE)</f>
        <v>Darkness (Unlit)</v>
      </c>
      <c r="AL334">
        <v>2</v>
      </c>
      <c r="AM334" t="str">
        <f>VLOOKUP(AL334, Lookups!$B$30:$C$39, 2, FALSE)</f>
        <v>Rain</v>
      </c>
      <c r="AN334">
        <v>2</v>
      </c>
      <c r="AO334" t="str">
        <f>VLOOKUP(AN334, Lookups!$B$41:$C$49, 2, FALSE)</f>
        <v>Wet / damp</v>
      </c>
      <c r="AP334">
        <v>-1</v>
      </c>
      <c r="AQ334">
        <v>-1</v>
      </c>
      <c r="AR334">
        <v>0</v>
      </c>
      <c r="AS334">
        <v>2</v>
      </c>
      <c r="AT334">
        <v>1</v>
      </c>
      <c r="AU334">
        <v>2</v>
      </c>
      <c r="AV334" t="s">
        <v>229</v>
      </c>
      <c r="AW334">
        <v>3</v>
      </c>
      <c r="AX334">
        <v>1</v>
      </c>
      <c r="AY334">
        <v>0</v>
      </c>
      <c r="AZ334">
        <v>1</v>
      </c>
    </row>
    <row r="335" spans="1:52" x14ac:dyDescent="0.35">
      <c r="A335">
        <v>2025221593221</v>
      </c>
      <c r="B335">
        <v>2025</v>
      </c>
      <c r="C335">
        <v>221593221</v>
      </c>
      <c r="D335">
        <v>408529</v>
      </c>
      <c r="E335">
        <v>277578</v>
      </c>
      <c r="F335">
        <v>-1.87608</v>
      </c>
      <c r="G335">
        <v>52.396160000000002</v>
      </c>
      <c r="H335">
        <v>22</v>
      </c>
      <c r="I335">
        <v>3</v>
      </c>
      <c r="J335" t="str">
        <f>VLOOKUP(I335, Lookups!$B$1:$C$4, 2, FALSE)</f>
        <v>Slight</v>
      </c>
      <c r="K335">
        <v>2</v>
      </c>
      <c r="L335">
        <v>3</v>
      </c>
      <c r="M335" s="1">
        <v>45791</v>
      </c>
      <c r="N335">
        <v>4</v>
      </c>
      <c r="O335" t="str">
        <f>VLOOKUP(N335, Lookups!$B$6:$C$12, 2, FALSE)</f>
        <v>Wednesday</v>
      </c>
      <c r="P335" s="2">
        <v>0.35416666666666669</v>
      </c>
      <c r="Q335">
        <v>-1</v>
      </c>
      <c r="R335" t="s">
        <v>47</v>
      </c>
      <c r="S335" t="s">
        <v>45</v>
      </c>
      <c r="T335" t="s">
        <v>45</v>
      </c>
      <c r="U335">
        <v>6</v>
      </c>
      <c r="V335" t="str">
        <f>VLOOKUP(U335, Lookups!$B$51:$C$57, 2, FALSE)</f>
        <v>Unclassified</v>
      </c>
      <c r="W335">
        <v>0</v>
      </c>
      <c r="X335" t="s">
        <v>362</v>
      </c>
      <c r="Y335">
        <v>6</v>
      </c>
      <c r="Z335" t="str">
        <f>VLOOKUP(Y335, Lookups!$B$14:$C$21, 2, FALSE)</f>
        <v>Single carriageway</v>
      </c>
      <c r="AA335">
        <v>30</v>
      </c>
      <c r="AB335">
        <v>-1</v>
      </c>
      <c r="AC335">
        <v>0</v>
      </c>
      <c r="AD335">
        <v>-1</v>
      </c>
      <c r="AE335">
        <v>6</v>
      </c>
      <c r="AF335">
        <v>0</v>
      </c>
      <c r="AG335">
        <v>-1</v>
      </c>
      <c r="AH335">
        <v>-1</v>
      </c>
      <c r="AI335">
        <v>0</v>
      </c>
      <c r="AJ335">
        <v>1</v>
      </c>
      <c r="AK335" t="str">
        <f>VLOOKUP(AJ335, Lookups!$B$23:$C$28, 2, FALSE)</f>
        <v>Daylight</v>
      </c>
      <c r="AL335">
        <v>1</v>
      </c>
      <c r="AM335" t="str">
        <f>VLOOKUP(AL335, Lookups!$B$30:$C$39, 2, FALSE)</f>
        <v>Fine / Clear</v>
      </c>
      <c r="AN335">
        <v>1</v>
      </c>
      <c r="AO335" t="str">
        <f>VLOOKUP(AN335, Lookups!$B$41:$C$49, 2, FALSE)</f>
        <v>Dry</v>
      </c>
      <c r="AP335">
        <v>-1</v>
      </c>
      <c r="AQ335">
        <v>-1</v>
      </c>
      <c r="AR335">
        <v>0</v>
      </c>
      <c r="AS335">
        <v>1</v>
      </c>
      <c r="AT335">
        <v>1</v>
      </c>
      <c r="AU335">
        <v>2</v>
      </c>
      <c r="AV335" t="s">
        <v>98</v>
      </c>
      <c r="AW335">
        <v>3</v>
      </c>
      <c r="AX335">
        <v>1</v>
      </c>
      <c r="AY335">
        <v>0</v>
      </c>
      <c r="AZ335">
        <v>1</v>
      </c>
    </row>
    <row r="336" spans="1:52" x14ac:dyDescent="0.35">
      <c r="A336">
        <v>2025221601200</v>
      </c>
      <c r="B336">
        <v>2025</v>
      </c>
      <c r="C336">
        <v>221601200</v>
      </c>
      <c r="D336">
        <v>378221</v>
      </c>
      <c r="E336">
        <v>274350</v>
      </c>
      <c r="F336">
        <v>-2.3212799999999998</v>
      </c>
      <c r="G336">
        <v>52.366759999999999</v>
      </c>
      <c r="H336">
        <v>22</v>
      </c>
      <c r="I336">
        <v>2</v>
      </c>
      <c r="J336" t="str">
        <f>VLOOKUP(I336, Lookups!$B$1:$C$4, 2, FALSE)</f>
        <v>Serious</v>
      </c>
      <c r="K336">
        <v>2</v>
      </c>
      <c r="L336">
        <v>2</v>
      </c>
      <c r="M336" s="1">
        <v>45818</v>
      </c>
      <c r="N336">
        <v>3</v>
      </c>
      <c r="O336" t="str">
        <f>VLOOKUP(N336, Lookups!$B$6:$C$12, 2, FALSE)</f>
        <v>Tuesday</v>
      </c>
      <c r="P336" s="2">
        <v>0.97361111111111109</v>
      </c>
      <c r="Q336">
        <v>-1</v>
      </c>
      <c r="R336" t="s">
        <v>44</v>
      </c>
      <c r="S336" t="s">
        <v>45</v>
      </c>
      <c r="T336" t="s">
        <v>45</v>
      </c>
      <c r="U336">
        <v>3</v>
      </c>
      <c r="V336" t="str">
        <f>VLOOKUP(U336, Lookups!$B$51:$C$57, 2, FALSE)</f>
        <v>A</v>
      </c>
      <c r="W336">
        <v>456</v>
      </c>
      <c r="X336" t="str">
        <f t="shared" ref="X336:X339" si="45">V336&amp;W336</f>
        <v>A456</v>
      </c>
      <c r="Y336">
        <v>6</v>
      </c>
      <c r="Z336" t="str">
        <f>VLOOKUP(Y336, Lookups!$B$14:$C$21, 2, FALSE)</f>
        <v>Single carriageway</v>
      </c>
      <c r="AA336">
        <v>50</v>
      </c>
      <c r="AB336">
        <v>-1</v>
      </c>
      <c r="AC336">
        <v>0</v>
      </c>
      <c r="AD336">
        <v>-1</v>
      </c>
      <c r="AE336">
        <v>0</v>
      </c>
      <c r="AF336">
        <v>-1</v>
      </c>
      <c r="AG336">
        <v>-1</v>
      </c>
      <c r="AH336">
        <v>-1</v>
      </c>
      <c r="AI336">
        <v>0</v>
      </c>
      <c r="AJ336">
        <v>6</v>
      </c>
      <c r="AK336" t="str">
        <f>VLOOKUP(AJ336, Lookups!$B$23:$C$28, 2, FALSE)</f>
        <v>Darkness (Unlit)</v>
      </c>
      <c r="AL336">
        <v>1</v>
      </c>
      <c r="AM336" t="str">
        <f>VLOOKUP(AL336, Lookups!$B$30:$C$39, 2, FALSE)</f>
        <v>Fine / Clear</v>
      </c>
      <c r="AN336">
        <v>1</v>
      </c>
      <c r="AO336" t="str">
        <f>VLOOKUP(AN336, Lookups!$B$41:$C$49, 2, FALSE)</f>
        <v>Dry</v>
      </c>
      <c r="AP336">
        <v>-1</v>
      </c>
      <c r="AQ336">
        <v>-1</v>
      </c>
      <c r="AR336">
        <v>0</v>
      </c>
      <c r="AS336">
        <v>2</v>
      </c>
      <c r="AT336">
        <v>1</v>
      </c>
      <c r="AU336">
        <v>2</v>
      </c>
      <c r="AV336" t="s">
        <v>89</v>
      </c>
      <c r="AW336">
        <v>7</v>
      </c>
      <c r="AX336">
        <v>1</v>
      </c>
      <c r="AY336">
        <v>1</v>
      </c>
      <c r="AZ336">
        <v>0</v>
      </c>
    </row>
    <row r="337" spans="1:52" x14ac:dyDescent="0.35">
      <c r="A337">
        <v>2025221609484</v>
      </c>
      <c r="B337">
        <v>2025</v>
      </c>
      <c r="C337">
        <v>221609484</v>
      </c>
      <c r="D337">
        <v>375711</v>
      </c>
      <c r="E337">
        <v>255279</v>
      </c>
      <c r="F337">
        <v>-2.35676</v>
      </c>
      <c r="G337">
        <v>52.195210000000003</v>
      </c>
      <c r="H337">
        <v>22</v>
      </c>
      <c r="I337">
        <v>2</v>
      </c>
      <c r="J337" t="str">
        <f>VLOOKUP(I337, Lookups!$B$1:$C$4, 2, FALSE)</f>
        <v>Serious</v>
      </c>
      <c r="K337">
        <v>2</v>
      </c>
      <c r="L337">
        <v>2</v>
      </c>
      <c r="M337" s="1">
        <v>45827</v>
      </c>
      <c r="N337">
        <v>5</v>
      </c>
      <c r="O337" t="str">
        <f>VLOOKUP(N337, Lookups!$B$6:$C$12, 2, FALSE)</f>
        <v>Thursday</v>
      </c>
      <c r="P337" s="2">
        <v>0.54305555555555551</v>
      </c>
      <c r="Q337">
        <v>-1</v>
      </c>
      <c r="R337" t="s">
        <v>49</v>
      </c>
      <c r="S337" t="s">
        <v>45</v>
      </c>
      <c r="T337" t="s">
        <v>45</v>
      </c>
      <c r="U337">
        <v>3</v>
      </c>
      <c r="V337" t="str">
        <f>VLOOKUP(U337, Lookups!$B$51:$C$57, 2, FALSE)</f>
        <v>A</v>
      </c>
      <c r="W337">
        <v>44</v>
      </c>
      <c r="X337" t="str">
        <f t="shared" si="45"/>
        <v>A44</v>
      </c>
      <c r="Y337">
        <v>6</v>
      </c>
      <c r="Z337" t="str">
        <f>VLOOKUP(Y337, Lookups!$B$14:$C$21, 2, FALSE)</f>
        <v>Single carriageway</v>
      </c>
      <c r="AA337">
        <v>30</v>
      </c>
      <c r="AB337">
        <v>-1</v>
      </c>
      <c r="AC337">
        <v>0</v>
      </c>
      <c r="AD337">
        <v>-1</v>
      </c>
      <c r="AE337">
        <v>0</v>
      </c>
      <c r="AF337">
        <v>-1</v>
      </c>
      <c r="AG337">
        <v>-1</v>
      </c>
      <c r="AH337">
        <v>-1</v>
      </c>
      <c r="AI337">
        <v>0</v>
      </c>
      <c r="AJ337">
        <v>1</v>
      </c>
      <c r="AK337" t="str">
        <f>VLOOKUP(AJ337, Lookups!$B$23:$C$28, 2, FALSE)</f>
        <v>Daylight</v>
      </c>
      <c r="AL337">
        <v>1</v>
      </c>
      <c r="AM337" t="str">
        <f>VLOOKUP(AL337, Lookups!$B$30:$C$39, 2, FALSE)</f>
        <v>Fine / Clear</v>
      </c>
      <c r="AN337">
        <v>1</v>
      </c>
      <c r="AO337" t="str">
        <f>VLOOKUP(AN337, Lookups!$B$41:$C$49, 2, FALSE)</f>
        <v>Dry</v>
      </c>
      <c r="AP337">
        <v>-1</v>
      </c>
      <c r="AQ337">
        <v>-1</v>
      </c>
      <c r="AR337">
        <v>0</v>
      </c>
      <c r="AS337">
        <v>2</v>
      </c>
      <c r="AT337">
        <v>1</v>
      </c>
      <c r="AU337">
        <v>2</v>
      </c>
      <c r="AV337" t="s">
        <v>129</v>
      </c>
      <c r="AW337">
        <v>5</v>
      </c>
      <c r="AX337">
        <v>1</v>
      </c>
      <c r="AY337">
        <v>1</v>
      </c>
      <c r="AZ337">
        <v>0</v>
      </c>
    </row>
    <row r="338" spans="1:52" x14ac:dyDescent="0.35">
      <c r="A338">
        <v>2025221641011</v>
      </c>
      <c r="B338">
        <v>2025</v>
      </c>
      <c r="C338">
        <v>221641011</v>
      </c>
      <c r="D338">
        <v>386612</v>
      </c>
      <c r="E338">
        <v>277682</v>
      </c>
      <c r="F338">
        <v>-2.1981799999999998</v>
      </c>
      <c r="G338">
        <v>52.396990000000002</v>
      </c>
      <c r="H338">
        <v>22</v>
      </c>
      <c r="I338">
        <v>3</v>
      </c>
      <c r="J338" t="str">
        <f>VLOOKUP(I338, Lookups!$B$1:$C$4, 2, FALSE)</f>
        <v>Slight</v>
      </c>
      <c r="K338">
        <v>2</v>
      </c>
      <c r="L338">
        <v>1</v>
      </c>
      <c r="M338" s="1">
        <v>45895</v>
      </c>
      <c r="N338">
        <v>3</v>
      </c>
      <c r="O338" t="str">
        <f>VLOOKUP(N338, Lookups!$B$6:$C$12, 2, FALSE)</f>
        <v>Tuesday</v>
      </c>
      <c r="P338" s="2">
        <v>0.65902777777777777</v>
      </c>
      <c r="Q338">
        <v>-1</v>
      </c>
      <c r="R338" t="s">
        <v>44</v>
      </c>
      <c r="S338" t="s">
        <v>45</v>
      </c>
      <c r="T338" t="s">
        <v>45</v>
      </c>
      <c r="U338">
        <v>3</v>
      </c>
      <c r="V338" t="str">
        <f>VLOOKUP(U338, Lookups!$B$51:$C$57, 2, FALSE)</f>
        <v>A</v>
      </c>
      <c r="W338">
        <v>456</v>
      </c>
      <c r="X338" t="str">
        <f t="shared" si="45"/>
        <v>A456</v>
      </c>
      <c r="Y338">
        <v>3</v>
      </c>
      <c r="Z338" t="str">
        <f>VLOOKUP(Y338, Lookups!$B$14:$C$21, 2, FALSE)</f>
        <v>Dual carriageway</v>
      </c>
      <c r="AA338">
        <v>60</v>
      </c>
      <c r="AB338">
        <v>-1</v>
      </c>
      <c r="AC338">
        <v>19</v>
      </c>
      <c r="AD338">
        <v>4</v>
      </c>
      <c r="AE338">
        <v>6</v>
      </c>
      <c r="AF338">
        <v>0</v>
      </c>
      <c r="AG338">
        <v>-1</v>
      </c>
      <c r="AH338">
        <v>-1</v>
      </c>
      <c r="AI338">
        <v>0</v>
      </c>
      <c r="AJ338">
        <v>1</v>
      </c>
      <c r="AK338" t="str">
        <f>VLOOKUP(AJ338, Lookups!$B$23:$C$28, 2, FALSE)</f>
        <v>Daylight</v>
      </c>
      <c r="AL338">
        <v>1</v>
      </c>
      <c r="AM338" t="str">
        <f>VLOOKUP(AL338, Lookups!$B$30:$C$39, 2, FALSE)</f>
        <v>Fine / Clear</v>
      </c>
      <c r="AN338">
        <v>1</v>
      </c>
      <c r="AO338" t="str">
        <f>VLOOKUP(AN338, Lookups!$B$41:$C$49, 2, FALSE)</f>
        <v>Dry</v>
      </c>
      <c r="AP338">
        <v>-1</v>
      </c>
      <c r="AQ338">
        <v>-1</v>
      </c>
      <c r="AR338">
        <v>0</v>
      </c>
      <c r="AS338">
        <v>2</v>
      </c>
      <c r="AT338">
        <v>1</v>
      </c>
      <c r="AU338">
        <v>2</v>
      </c>
      <c r="AV338" t="s">
        <v>80</v>
      </c>
      <c r="AW338">
        <v>3</v>
      </c>
      <c r="AX338">
        <v>1</v>
      </c>
      <c r="AY338">
        <v>0</v>
      </c>
      <c r="AZ338">
        <v>1</v>
      </c>
    </row>
    <row r="339" spans="1:52" x14ac:dyDescent="0.35">
      <c r="A339">
        <v>2025221565682</v>
      </c>
      <c r="B339">
        <v>2025</v>
      </c>
      <c r="C339">
        <v>221565682</v>
      </c>
      <c r="D339">
        <v>399357</v>
      </c>
      <c r="E339">
        <v>272858</v>
      </c>
      <c r="F339">
        <v>-2.0108600000000001</v>
      </c>
      <c r="G339">
        <v>52.353789999999996</v>
      </c>
      <c r="H339">
        <v>22</v>
      </c>
      <c r="I339">
        <v>3</v>
      </c>
      <c r="J339" t="str">
        <f>VLOOKUP(I339, Lookups!$B$1:$C$4, 2, FALSE)</f>
        <v>Slight</v>
      </c>
      <c r="K339">
        <v>1</v>
      </c>
      <c r="L339">
        <v>1</v>
      </c>
      <c r="M339" s="1">
        <v>45733</v>
      </c>
      <c r="N339">
        <v>2</v>
      </c>
      <c r="O339" t="str">
        <f>VLOOKUP(N339, Lookups!$B$6:$C$12, 2, FALSE)</f>
        <v>Monday</v>
      </c>
      <c r="P339" s="2">
        <v>5.5555555555555552E-2</v>
      </c>
      <c r="Q339">
        <v>-1</v>
      </c>
      <c r="R339" t="s">
        <v>47</v>
      </c>
      <c r="S339" t="s">
        <v>45</v>
      </c>
      <c r="T339" t="s">
        <v>45</v>
      </c>
      <c r="U339">
        <v>1</v>
      </c>
      <c r="V339" t="str">
        <f>VLOOKUP(U339, Lookups!$B$51:$C$57, 2, FALSE)</f>
        <v>M</v>
      </c>
      <c r="W339">
        <v>42</v>
      </c>
      <c r="X339" t="str">
        <f t="shared" si="45"/>
        <v>M42</v>
      </c>
      <c r="Y339">
        <v>3</v>
      </c>
      <c r="Z339" t="str">
        <f>VLOOKUP(Y339, Lookups!$B$14:$C$21, 2, FALSE)</f>
        <v>Dual carriageway</v>
      </c>
      <c r="AA339">
        <v>70</v>
      </c>
      <c r="AB339">
        <v>-1</v>
      </c>
      <c r="AC339">
        <v>0</v>
      </c>
      <c r="AD339">
        <v>-1</v>
      </c>
      <c r="AE339">
        <v>0</v>
      </c>
      <c r="AF339">
        <v>-1</v>
      </c>
      <c r="AG339">
        <v>-1</v>
      </c>
      <c r="AH339">
        <v>-1</v>
      </c>
      <c r="AI339">
        <v>0</v>
      </c>
      <c r="AJ339">
        <v>6</v>
      </c>
      <c r="AK339" t="str">
        <f>VLOOKUP(AJ339, Lookups!$B$23:$C$28, 2, FALSE)</f>
        <v>Darkness (Unlit)</v>
      </c>
      <c r="AL339">
        <v>1</v>
      </c>
      <c r="AM339" t="str">
        <f>VLOOKUP(AL339, Lookups!$B$30:$C$39, 2, FALSE)</f>
        <v>Fine / Clear</v>
      </c>
      <c r="AN339">
        <v>1</v>
      </c>
      <c r="AO339" t="str">
        <f>VLOOKUP(AN339, Lookups!$B$41:$C$49, 2, FALSE)</f>
        <v>Dry</v>
      </c>
      <c r="AP339">
        <v>-1</v>
      </c>
      <c r="AQ339">
        <v>-1</v>
      </c>
      <c r="AR339">
        <v>0</v>
      </c>
      <c r="AS339">
        <v>2</v>
      </c>
      <c r="AT339">
        <v>1</v>
      </c>
      <c r="AU339">
        <v>1</v>
      </c>
      <c r="AV339" t="s">
        <v>237</v>
      </c>
      <c r="AW339">
        <v>3</v>
      </c>
      <c r="AX339">
        <v>1</v>
      </c>
      <c r="AY339">
        <v>0</v>
      </c>
      <c r="AZ339">
        <v>1</v>
      </c>
    </row>
    <row r="340" spans="1:52" x14ac:dyDescent="0.35">
      <c r="A340">
        <v>2025221666988</v>
      </c>
      <c r="B340">
        <v>2025</v>
      </c>
      <c r="C340">
        <v>221666988</v>
      </c>
      <c r="D340">
        <v>387750</v>
      </c>
      <c r="E340">
        <v>255106</v>
      </c>
      <c r="F340">
        <v>-2.1806299999999998</v>
      </c>
      <c r="G340">
        <v>52.194049999999997</v>
      </c>
      <c r="H340">
        <v>22</v>
      </c>
      <c r="I340">
        <v>3</v>
      </c>
      <c r="J340" t="str">
        <f>VLOOKUP(I340, Lookups!$B$1:$C$4, 2, FALSE)</f>
        <v>Slight</v>
      </c>
      <c r="K340">
        <v>1</v>
      </c>
      <c r="L340">
        <v>1</v>
      </c>
      <c r="M340" s="1">
        <v>45969</v>
      </c>
      <c r="N340">
        <v>7</v>
      </c>
      <c r="O340" t="str">
        <f>VLOOKUP(N340, Lookups!$B$6:$C$12, 2, FALSE)</f>
        <v>Saturday</v>
      </c>
      <c r="P340" s="2">
        <v>0.4201388888888889</v>
      </c>
      <c r="Q340">
        <v>-1</v>
      </c>
      <c r="R340" t="s">
        <v>60</v>
      </c>
      <c r="S340" t="s">
        <v>45</v>
      </c>
      <c r="T340" t="s">
        <v>45</v>
      </c>
      <c r="U340">
        <v>6</v>
      </c>
      <c r="V340" t="str">
        <f>VLOOKUP(U340, Lookups!$B$51:$C$57, 2, FALSE)</f>
        <v>Unclassified</v>
      </c>
      <c r="W340">
        <v>0</v>
      </c>
      <c r="X340" t="s">
        <v>362</v>
      </c>
      <c r="Y340">
        <v>6</v>
      </c>
      <c r="Z340" t="str">
        <f>VLOOKUP(Y340, Lookups!$B$14:$C$21, 2, FALSE)</f>
        <v>Single carriageway</v>
      </c>
      <c r="AA340">
        <v>30</v>
      </c>
      <c r="AB340">
        <v>-1</v>
      </c>
      <c r="AC340">
        <v>0</v>
      </c>
      <c r="AD340">
        <v>-1</v>
      </c>
      <c r="AE340">
        <v>6</v>
      </c>
      <c r="AF340">
        <v>0</v>
      </c>
      <c r="AG340">
        <v>-1</v>
      </c>
      <c r="AH340">
        <v>-1</v>
      </c>
      <c r="AI340">
        <v>0</v>
      </c>
      <c r="AJ340">
        <v>1</v>
      </c>
      <c r="AK340" t="str">
        <f>VLOOKUP(AJ340, Lookups!$B$23:$C$28, 2, FALSE)</f>
        <v>Daylight</v>
      </c>
      <c r="AL340">
        <v>1</v>
      </c>
      <c r="AM340" t="str">
        <f>VLOOKUP(AL340, Lookups!$B$30:$C$39, 2, FALSE)</f>
        <v>Fine / Clear</v>
      </c>
      <c r="AN340">
        <v>1</v>
      </c>
      <c r="AO340" t="str">
        <f>VLOOKUP(AN340, Lookups!$B$41:$C$49, 2, FALSE)</f>
        <v>Dry</v>
      </c>
      <c r="AP340">
        <v>-1</v>
      </c>
      <c r="AQ340">
        <v>-1</v>
      </c>
      <c r="AR340">
        <v>0</v>
      </c>
      <c r="AS340">
        <v>1</v>
      </c>
      <c r="AT340">
        <v>3</v>
      </c>
      <c r="AU340">
        <v>2</v>
      </c>
      <c r="AV340" t="s">
        <v>75</v>
      </c>
      <c r="AW340">
        <v>3</v>
      </c>
      <c r="AX340">
        <v>1</v>
      </c>
      <c r="AY340">
        <v>0</v>
      </c>
      <c r="AZ340">
        <v>1</v>
      </c>
    </row>
    <row r="341" spans="1:52" x14ac:dyDescent="0.35">
      <c r="A341">
        <v>2025221681617</v>
      </c>
      <c r="B341">
        <v>2025</v>
      </c>
      <c r="C341">
        <v>221681617</v>
      </c>
      <c r="D341">
        <v>403273</v>
      </c>
      <c r="E341">
        <v>268134</v>
      </c>
      <c r="F341">
        <v>-1.9534100000000001</v>
      </c>
      <c r="G341">
        <v>52.311309999999999</v>
      </c>
      <c r="H341">
        <v>22</v>
      </c>
      <c r="I341">
        <v>3</v>
      </c>
      <c r="J341" t="str">
        <f>VLOOKUP(I341, Lookups!$B$1:$C$4, 2, FALSE)</f>
        <v>Slight</v>
      </c>
      <c r="K341">
        <v>2</v>
      </c>
      <c r="L341">
        <v>1</v>
      </c>
      <c r="M341" s="1">
        <v>46001</v>
      </c>
      <c r="N341">
        <v>4</v>
      </c>
      <c r="O341" t="str">
        <f>VLOOKUP(N341, Lookups!$B$6:$C$12, 2, FALSE)</f>
        <v>Wednesday</v>
      </c>
      <c r="P341" s="2">
        <v>0.69791666666666663</v>
      </c>
      <c r="Q341">
        <v>-1</v>
      </c>
      <c r="R341" t="s">
        <v>69</v>
      </c>
      <c r="S341" t="s">
        <v>45</v>
      </c>
      <c r="T341" t="s">
        <v>45</v>
      </c>
      <c r="U341">
        <v>6</v>
      </c>
      <c r="V341" t="str">
        <f>VLOOKUP(U341, Lookups!$B$51:$C$57, 2, FALSE)</f>
        <v>Unclassified</v>
      </c>
      <c r="W341">
        <v>0</v>
      </c>
      <c r="X341" t="s">
        <v>362</v>
      </c>
      <c r="Y341">
        <v>6</v>
      </c>
      <c r="Z341" t="str">
        <f>VLOOKUP(Y341, Lookups!$B$14:$C$21, 2, FALSE)</f>
        <v>Single carriageway</v>
      </c>
      <c r="AA341">
        <v>30</v>
      </c>
      <c r="AB341">
        <v>-1</v>
      </c>
      <c r="AC341">
        <v>0</v>
      </c>
      <c r="AD341">
        <v>-1</v>
      </c>
      <c r="AE341">
        <v>6</v>
      </c>
      <c r="AF341">
        <v>0</v>
      </c>
      <c r="AG341">
        <v>-1</v>
      </c>
      <c r="AH341">
        <v>-1</v>
      </c>
      <c r="AI341">
        <v>0</v>
      </c>
      <c r="AJ341">
        <v>4</v>
      </c>
      <c r="AK341" t="str">
        <f>VLOOKUP(AJ341, Lookups!$B$23:$C$28, 2, FALSE)</f>
        <v>Darkness (Lit)</v>
      </c>
      <c r="AL341">
        <v>1</v>
      </c>
      <c r="AM341" t="str">
        <f>VLOOKUP(AL341, Lookups!$B$30:$C$39, 2, FALSE)</f>
        <v>Fine / Clear</v>
      </c>
      <c r="AN341">
        <v>2</v>
      </c>
      <c r="AO341" t="str">
        <f>VLOOKUP(AN341, Lookups!$B$41:$C$49, 2, FALSE)</f>
        <v>Wet / damp</v>
      </c>
      <c r="AP341">
        <v>-1</v>
      </c>
      <c r="AQ341">
        <v>-1</v>
      </c>
      <c r="AR341">
        <v>0</v>
      </c>
      <c r="AS341">
        <v>1</v>
      </c>
      <c r="AT341">
        <v>3</v>
      </c>
      <c r="AU341">
        <v>2</v>
      </c>
      <c r="AV341" t="s">
        <v>209</v>
      </c>
      <c r="AW341">
        <v>3</v>
      </c>
      <c r="AX341">
        <v>1</v>
      </c>
      <c r="AY341">
        <v>0</v>
      </c>
      <c r="AZ341">
        <v>1</v>
      </c>
    </row>
    <row r="342" spans="1:52" x14ac:dyDescent="0.35">
      <c r="A342">
        <v>2025221682812</v>
      </c>
      <c r="B342">
        <v>2025</v>
      </c>
      <c r="C342">
        <v>221682812</v>
      </c>
      <c r="D342">
        <v>404400</v>
      </c>
      <c r="E342">
        <v>261514</v>
      </c>
      <c r="F342">
        <v>-1.9369700000000001</v>
      </c>
      <c r="G342">
        <v>52.251779999999997</v>
      </c>
      <c r="H342">
        <v>22</v>
      </c>
      <c r="I342">
        <v>3</v>
      </c>
      <c r="J342" t="str">
        <f>VLOOKUP(I342, Lookups!$B$1:$C$4, 2, FALSE)</f>
        <v>Slight</v>
      </c>
      <c r="K342">
        <v>1</v>
      </c>
      <c r="L342">
        <v>1</v>
      </c>
      <c r="M342" s="1">
        <v>46004</v>
      </c>
      <c r="N342">
        <v>7</v>
      </c>
      <c r="O342" t="str">
        <f>VLOOKUP(N342, Lookups!$B$6:$C$12, 2, FALSE)</f>
        <v>Saturday</v>
      </c>
      <c r="P342" s="2">
        <v>0.53611111111111109</v>
      </c>
      <c r="Q342">
        <v>-1</v>
      </c>
      <c r="R342" t="s">
        <v>54</v>
      </c>
      <c r="S342" t="s">
        <v>45</v>
      </c>
      <c r="T342" t="s">
        <v>45</v>
      </c>
      <c r="U342">
        <v>4</v>
      </c>
      <c r="V342" t="str">
        <f>VLOOKUP(U342, Lookups!$B$51:$C$57, 2, FALSE)</f>
        <v>B</v>
      </c>
      <c r="W342">
        <v>4092</v>
      </c>
      <c r="X342" t="str">
        <f t="shared" ref="X342:X346" si="46">V342&amp;W342</f>
        <v>B4092</v>
      </c>
      <c r="Y342">
        <v>6</v>
      </c>
      <c r="Z342" t="str">
        <f>VLOOKUP(Y342, Lookups!$B$14:$C$21, 2, FALSE)</f>
        <v>Single carriageway</v>
      </c>
      <c r="AA342">
        <v>30</v>
      </c>
      <c r="AB342">
        <v>-1</v>
      </c>
      <c r="AC342">
        <v>13</v>
      </c>
      <c r="AD342">
        <v>4</v>
      </c>
      <c r="AE342">
        <v>3</v>
      </c>
      <c r="AF342">
        <v>441</v>
      </c>
      <c r="AG342">
        <v>-1</v>
      </c>
      <c r="AH342">
        <v>-1</v>
      </c>
      <c r="AI342">
        <v>0</v>
      </c>
      <c r="AJ342">
        <v>1</v>
      </c>
      <c r="AK342" t="str">
        <f>VLOOKUP(AJ342, Lookups!$B$23:$C$28, 2, FALSE)</f>
        <v>Daylight</v>
      </c>
      <c r="AL342">
        <v>1</v>
      </c>
      <c r="AM342" t="str">
        <f>VLOOKUP(AL342, Lookups!$B$30:$C$39, 2, FALSE)</f>
        <v>Fine / Clear</v>
      </c>
      <c r="AN342">
        <v>1</v>
      </c>
      <c r="AO342" t="str">
        <f>VLOOKUP(AN342, Lookups!$B$41:$C$49, 2, FALSE)</f>
        <v>Dry</v>
      </c>
      <c r="AP342">
        <v>-1</v>
      </c>
      <c r="AQ342">
        <v>-1</v>
      </c>
      <c r="AR342">
        <v>0</v>
      </c>
      <c r="AS342">
        <v>1</v>
      </c>
      <c r="AT342">
        <v>2</v>
      </c>
      <c r="AU342">
        <v>2</v>
      </c>
      <c r="AV342" t="s">
        <v>141</v>
      </c>
      <c r="AW342">
        <v>3</v>
      </c>
      <c r="AX342">
        <v>1</v>
      </c>
      <c r="AY342">
        <v>0</v>
      </c>
      <c r="AZ342">
        <v>1</v>
      </c>
    </row>
    <row r="343" spans="1:52" x14ac:dyDescent="0.35">
      <c r="A343">
        <v>2025221648389</v>
      </c>
      <c r="B343">
        <v>2025</v>
      </c>
      <c r="C343">
        <v>221648389</v>
      </c>
      <c r="D343">
        <v>378633</v>
      </c>
      <c r="E343">
        <v>245769</v>
      </c>
      <c r="F343">
        <v>-2.3134100000000002</v>
      </c>
      <c r="G343">
        <v>52.109830000000002</v>
      </c>
      <c r="H343">
        <v>22</v>
      </c>
      <c r="I343">
        <v>3</v>
      </c>
      <c r="J343" t="str">
        <f>VLOOKUP(I343, Lookups!$B$1:$C$4, 2, FALSE)</f>
        <v>Slight</v>
      </c>
      <c r="K343">
        <v>1</v>
      </c>
      <c r="L343">
        <v>1</v>
      </c>
      <c r="M343" s="1">
        <v>45930</v>
      </c>
      <c r="N343">
        <v>3</v>
      </c>
      <c r="O343" t="str">
        <f>VLOOKUP(N343, Lookups!$B$6:$C$12, 2, FALSE)</f>
        <v>Tuesday</v>
      </c>
      <c r="P343" s="2">
        <v>0.52916666666666667</v>
      </c>
      <c r="Q343">
        <v>-1</v>
      </c>
      <c r="R343" t="s">
        <v>49</v>
      </c>
      <c r="S343" t="s">
        <v>45</v>
      </c>
      <c r="T343" t="s">
        <v>45</v>
      </c>
      <c r="U343">
        <v>4</v>
      </c>
      <c r="V343" t="str">
        <f>VLOOKUP(U343, Lookups!$B$51:$C$57, 2, FALSE)</f>
        <v>B</v>
      </c>
      <c r="W343">
        <v>4211</v>
      </c>
      <c r="X343" t="str">
        <f t="shared" si="46"/>
        <v>B4211</v>
      </c>
      <c r="Y343">
        <v>6</v>
      </c>
      <c r="Z343" t="str">
        <f>VLOOKUP(Y343, Lookups!$B$14:$C$21, 2, FALSE)</f>
        <v>Single carriageway</v>
      </c>
      <c r="AA343">
        <v>30</v>
      </c>
      <c r="AB343">
        <v>-1</v>
      </c>
      <c r="AC343">
        <v>0</v>
      </c>
      <c r="AD343">
        <v>-1</v>
      </c>
      <c r="AE343">
        <v>6</v>
      </c>
      <c r="AF343">
        <v>0</v>
      </c>
      <c r="AG343">
        <v>-1</v>
      </c>
      <c r="AH343">
        <v>-1</v>
      </c>
      <c r="AI343">
        <v>0</v>
      </c>
      <c r="AJ343">
        <v>1</v>
      </c>
      <c r="AK343" t="str">
        <f>VLOOKUP(AJ343, Lookups!$B$23:$C$28, 2, FALSE)</f>
        <v>Daylight</v>
      </c>
      <c r="AL343">
        <v>1</v>
      </c>
      <c r="AM343" t="str">
        <f>VLOOKUP(AL343, Lookups!$B$30:$C$39, 2, FALSE)</f>
        <v>Fine / Clear</v>
      </c>
      <c r="AN343">
        <v>1</v>
      </c>
      <c r="AO343" t="str">
        <f>VLOOKUP(AN343, Lookups!$B$41:$C$49, 2, FALSE)</f>
        <v>Dry</v>
      </c>
      <c r="AP343">
        <v>-1</v>
      </c>
      <c r="AQ343">
        <v>-1</v>
      </c>
      <c r="AR343">
        <v>0</v>
      </c>
      <c r="AS343">
        <v>1</v>
      </c>
      <c r="AT343">
        <v>1</v>
      </c>
      <c r="AU343">
        <v>2</v>
      </c>
      <c r="AV343" t="s">
        <v>238</v>
      </c>
      <c r="AW343">
        <v>3</v>
      </c>
      <c r="AX343">
        <v>1</v>
      </c>
      <c r="AY343">
        <v>0</v>
      </c>
      <c r="AZ343">
        <v>1</v>
      </c>
    </row>
    <row r="344" spans="1:52" x14ac:dyDescent="0.35">
      <c r="A344">
        <v>2025221551505</v>
      </c>
      <c r="B344">
        <v>2025</v>
      </c>
      <c r="C344">
        <v>221551505</v>
      </c>
      <c r="D344">
        <v>406690</v>
      </c>
      <c r="E344">
        <v>241273</v>
      </c>
      <c r="F344">
        <v>-1.90381</v>
      </c>
      <c r="G344">
        <v>52.069789999999998</v>
      </c>
      <c r="H344">
        <v>22</v>
      </c>
      <c r="I344">
        <v>3</v>
      </c>
      <c r="J344" t="str">
        <f>VLOOKUP(I344, Lookups!$B$1:$C$4, 2, FALSE)</f>
        <v>Slight</v>
      </c>
      <c r="K344">
        <v>2</v>
      </c>
      <c r="L344">
        <v>1</v>
      </c>
      <c r="M344" s="1">
        <v>45694</v>
      </c>
      <c r="N344">
        <v>5</v>
      </c>
      <c r="O344" t="str">
        <f>VLOOKUP(N344, Lookups!$B$6:$C$12, 2, FALSE)</f>
        <v>Thursday</v>
      </c>
      <c r="P344" s="2">
        <v>0.8125</v>
      </c>
      <c r="Q344">
        <v>-1</v>
      </c>
      <c r="R344" t="s">
        <v>54</v>
      </c>
      <c r="S344" t="s">
        <v>45</v>
      </c>
      <c r="T344" t="s">
        <v>45</v>
      </c>
      <c r="U344">
        <v>3</v>
      </c>
      <c r="V344" t="str">
        <f>VLOOKUP(U344, Lookups!$B$51:$C$57, 2, FALSE)</f>
        <v>A</v>
      </c>
      <c r="W344">
        <v>44</v>
      </c>
      <c r="X344" t="str">
        <f t="shared" si="46"/>
        <v>A44</v>
      </c>
      <c r="Y344">
        <v>6</v>
      </c>
      <c r="Z344" t="str">
        <f>VLOOKUP(Y344, Lookups!$B$14:$C$21, 2, FALSE)</f>
        <v>Single carriageway</v>
      </c>
      <c r="AA344">
        <v>40</v>
      </c>
      <c r="AB344">
        <v>-1</v>
      </c>
      <c r="AC344">
        <v>13</v>
      </c>
      <c r="AD344">
        <v>4</v>
      </c>
      <c r="AE344">
        <v>6</v>
      </c>
      <c r="AF344">
        <v>0</v>
      </c>
      <c r="AG344">
        <v>-1</v>
      </c>
      <c r="AH344">
        <v>-1</v>
      </c>
      <c r="AI344">
        <v>0</v>
      </c>
      <c r="AJ344">
        <v>6</v>
      </c>
      <c r="AK344" t="str">
        <f>VLOOKUP(AJ344, Lookups!$B$23:$C$28, 2, FALSE)</f>
        <v>Darkness (Unlit)</v>
      </c>
      <c r="AL344">
        <v>1</v>
      </c>
      <c r="AM344" t="str">
        <f>VLOOKUP(AL344, Lookups!$B$30:$C$39, 2, FALSE)</f>
        <v>Fine / Clear</v>
      </c>
      <c r="AN344">
        <v>2</v>
      </c>
      <c r="AO344" t="str">
        <f>VLOOKUP(AN344, Lookups!$B$41:$C$49, 2, FALSE)</f>
        <v>Wet / damp</v>
      </c>
      <c r="AP344">
        <v>-1</v>
      </c>
      <c r="AQ344">
        <v>-1</v>
      </c>
      <c r="AR344">
        <v>0</v>
      </c>
      <c r="AS344">
        <v>2</v>
      </c>
      <c r="AT344">
        <v>1</v>
      </c>
      <c r="AU344">
        <v>2</v>
      </c>
      <c r="AV344" t="s">
        <v>157</v>
      </c>
      <c r="AW344">
        <v>3</v>
      </c>
      <c r="AX344">
        <v>1</v>
      </c>
      <c r="AY344">
        <v>0</v>
      </c>
      <c r="AZ344">
        <v>1</v>
      </c>
    </row>
    <row r="345" spans="1:52" x14ac:dyDescent="0.35">
      <c r="A345">
        <v>2025221559957</v>
      </c>
      <c r="B345">
        <v>2025</v>
      </c>
      <c r="C345">
        <v>221559957</v>
      </c>
      <c r="D345">
        <v>378825</v>
      </c>
      <c r="E345">
        <v>245745</v>
      </c>
      <c r="F345">
        <v>-2.3106100000000001</v>
      </c>
      <c r="G345">
        <v>52.10962</v>
      </c>
      <c r="H345">
        <v>22</v>
      </c>
      <c r="I345">
        <v>3</v>
      </c>
      <c r="J345" t="str">
        <f>VLOOKUP(I345, Lookups!$B$1:$C$4, 2, FALSE)</f>
        <v>Slight</v>
      </c>
      <c r="K345">
        <v>1</v>
      </c>
      <c r="L345">
        <v>1</v>
      </c>
      <c r="M345" s="1">
        <v>45717</v>
      </c>
      <c r="N345">
        <v>7</v>
      </c>
      <c r="O345" t="str">
        <f>VLOOKUP(N345, Lookups!$B$6:$C$12, 2, FALSE)</f>
        <v>Saturday</v>
      </c>
      <c r="P345" s="2">
        <v>0.72569444444444442</v>
      </c>
      <c r="Q345">
        <v>-1</v>
      </c>
      <c r="R345" t="s">
        <v>49</v>
      </c>
      <c r="S345" t="s">
        <v>45</v>
      </c>
      <c r="T345" t="s">
        <v>45</v>
      </c>
      <c r="U345">
        <v>4</v>
      </c>
      <c r="V345" t="str">
        <f>VLOOKUP(U345, Lookups!$B$51:$C$57, 2, FALSE)</f>
        <v>B</v>
      </c>
      <c r="W345">
        <v>4208</v>
      </c>
      <c r="X345" t="str">
        <f t="shared" si="46"/>
        <v>B4208</v>
      </c>
      <c r="Y345">
        <v>6</v>
      </c>
      <c r="Z345" t="str">
        <f>VLOOKUP(Y345, Lookups!$B$14:$C$21, 2, FALSE)</f>
        <v>Single carriageway</v>
      </c>
      <c r="AA345">
        <v>30</v>
      </c>
      <c r="AB345">
        <v>-1</v>
      </c>
      <c r="AC345">
        <v>0</v>
      </c>
      <c r="AD345">
        <v>-1</v>
      </c>
      <c r="AE345">
        <v>6</v>
      </c>
      <c r="AF345">
        <v>0</v>
      </c>
      <c r="AG345">
        <v>-1</v>
      </c>
      <c r="AH345">
        <v>-1</v>
      </c>
      <c r="AI345">
        <v>0</v>
      </c>
      <c r="AJ345">
        <v>1</v>
      </c>
      <c r="AK345" t="str">
        <f>VLOOKUP(AJ345, Lookups!$B$23:$C$28, 2, FALSE)</f>
        <v>Daylight</v>
      </c>
      <c r="AL345">
        <v>1</v>
      </c>
      <c r="AM345" t="str">
        <f>VLOOKUP(AL345, Lookups!$B$30:$C$39, 2, FALSE)</f>
        <v>Fine / Clear</v>
      </c>
      <c r="AN345">
        <v>2</v>
      </c>
      <c r="AO345" t="str">
        <f>VLOOKUP(AN345, Lookups!$B$41:$C$49, 2, FALSE)</f>
        <v>Wet / damp</v>
      </c>
      <c r="AP345">
        <v>-1</v>
      </c>
      <c r="AQ345">
        <v>-1</v>
      </c>
      <c r="AR345">
        <v>0</v>
      </c>
      <c r="AS345">
        <v>1</v>
      </c>
      <c r="AT345">
        <v>1</v>
      </c>
      <c r="AU345">
        <v>2</v>
      </c>
      <c r="AV345" t="s">
        <v>239</v>
      </c>
      <c r="AW345">
        <v>3</v>
      </c>
      <c r="AX345">
        <v>1</v>
      </c>
      <c r="AY345">
        <v>0</v>
      </c>
      <c r="AZ345">
        <v>1</v>
      </c>
    </row>
    <row r="346" spans="1:52" x14ac:dyDescent="0.35">
      <c r="A346">
        <v>2025221577282</v>
      </c>
      <c r="B346">
        <v>2025</v>
      </c>
      <c r="C346">
        <v>221577282</v>
      </c>
      <c r="D346">
        <v>379052</v>
      </c>
      <c r="E346">
        <v>244789</v>
      </c>
      <c r="F346">
        <v>-2.3072300000000001</v>
      </c>
      <c r="G346">
        <v>52.101039999999998</v>
      </c>
      <c r="H346">
        <v>22</v>
      </c>
      <c r="I346">
        <v>2</v>
      </c>
      <c r="J346" t="str">
        <f>VLOOKUP(I346, Lookups!$B$1:$C$4, 2, FALSE)</f>
        <v>Serious</v>
      </c>
      <c r="K346">
        <v>2</v>
      </c>
      <c r="L346">
        <v>1</v>
      </c>
      <c r="M346" s="1">
        <v>45759</v>
      </c>
      <c r="N346">
        <v>7</v>
      </c>
      <c r="O346" t="str">
        <f>VLOOKUP(N346, Lookups!$B$6:$C$12, 2, FALSE)</f>
        <v>Saturday</v>
      </c>
      <c r="P346" s="2">
        <v>0.94374999999999998</v>
      </c>
      <c r="Q346">
        <v>-1</v>
      </c>
      <c r="R346" t="s">
        <v>49</v>
      </c>
      <c r="S346" t="s">
        <v>45</v>
      </c>
      <c r="T346" t="s">
        <v>45</v>
      </c>
      <c r="U346">
        <v>4</v>
      </c>
      <c r="V346" t="str">
        <f>VLOOKUP(U346, Lookups!$B$51:$C$57, 2, FALSE)</f>
        <v>B</v>
      </c>
      <c r="W346">
        <v>4208</v>
      </c>
      <c r="X346" t="str">
        <f t="shared" si="46"/>
        <v>B4208</v>
      </c>
      <c r="Y346">
        <v>6</v>
      </c>
      <c r="Z346" t="str">
        <f>VLOOKUP(Y346, Lookups!$B$14:$C$21, 2, FALSE)</f>
        <v>Single carriageway</v>
      </c>
      <c r="AA346">
        <v>30</v>
      </c>
      <c r="AB346">
        <v>-1</v>
      </c>
      <c r="AC346">
        <v>0</v>
      </c>
      <c r="AD346">
        <v>-1</v>
      </c>
      <c r="AE346">
        <v>6</v>
      </c>
      <c r="AF346">
        <v>0</v>
      </c>
      <c r="AG346">
        <v>-1</v>
      </c>
      <c r="AH346">
        <v>-1</v>
      </c>
      <c r="AI346">
        <v>0</v>
      </c>
      <c r="AJ346">
        <v>4</v>
      </c>
      <c r="AK346" t="str">
        <f>VLOOKUP(AJ346, Lookups!$B$23:$C$28, 2, FALSE)</f>
        <v>Darkness (Lit)</v>
      </c>
      <c r="AL346">
        <v>1</v>
      </c>
      <c r="AM346" t="str">
        <f>VLOOKUP(AL346, Lookups!$B$30:$C$39, 2, FALSE)</f>
        <v>Fine / Clear</v>
      </c>
      <c r="AN346">
        <v>1</v>
      </c>
      <c r="AO346" t="str">
        <f>VLOOKUP(AN346, Lookups!$B$41:$C$49, 2, FALSE)</f>
        <v>Dry</v>
      </c>
      <c r="AP346">
        <v>-1</v>
      </c>
      <c r="AQ346">
        <v>-1</v>
      </c>
      <c r="AR346">
        <v>0</v>
      </c>
      <c r="AS346">
        <v>1</v>
      </c>
      <c r="AT346">
        <v>1</v>
      </c>
      <c r="AU346">
        <v>2</v>
      </c>
      <c r="AV346" t="s">
        <v>240</v>
      </c>
      <c r="AW346">
        <v>7</v>
      </c>
      <c r="AX346">
        <v>1</v>
      </c>
      <c r="AY346">
        <v>1</v>
      </c>
      <c r="AZ346">
        <v>0</v>
      </c>
    </row>
    <row r="347" spans="1:52" x14ac:dyDescent="0.35">
      <c r="A347">
        <v>2025221561961</v>
      </c>
      <c r="B347">
        <v>2025</v>
      </c>
      <c r="C347">
        <v>221561961</v>
      </c>
      <c r="D347">
        <v>405396</v>
      </c>
      <c r="E347">
        <v>266520</v>
      </c>
      <c r="F347">
        <v>-1.9222999999999999</v>
      </c>
      <c r="G347">
        <v>52.296779999999998</v>
      </c>
      <c r="H347">
        <v>22</v>
      </c>
      <c r="I347">
        <v>2</v>
      </c>
      <c r="J347" t="str">
        <f>VLOOKUP(I347, Lookups!$B$1:$C$4, 2, FALSE)</f>
        <v>Serious</v>
      </c>
      <c r="K347">
        <v>1</v>
      </c>
      <c r="L347">
        <v>1</v>
      </c>
      <c r="M347" s="1">
        <v>45714</v>
      </c>
      <c r="N347">
        <v>4</v>
      </c>
      <c r="O347" t="str">
        <f>VLOOKUP(N347, Lookups!$B$6:$C$12, 2, FALSE)</f>
        <v>Wednesday</v>
      </c>
      <c r="P347" s="2">
        <v>0.34722222222222221</v>
      </c>
      <c r="Q347">
        <v>-1</v>
      </c>
      <c r="R347" t="s">
        <v>69</v>
      </c>
      <c r="S347" t="s">
        <v>45</v>
      </c>
      <c r="T347" t="s">
        <v>45</v>
      </c>
      <c r="U347">
        <v>6</v>
      </c>
      <c r="V347" t="str">
        <f>VLOOKUP(U347, Lookups!$B$51:$C$57, 2, FALSE)</f>
        <v>Unclassified</v>
      </c>
      <c r="W347">
        <v>0</v>
      </c>
      <c r="X347" t="s">
        <v>362</v>
      </c>
      <c r="Y347">
        <v>6</v>
      </c>
      <c r="Z347" t="str">
        <f>VLOOKUP(Y347, Lookups!$B$14:$C$21, 2, FALSE)</f>
        <v>Single carriageway</v>
      </c>
      <c r="AA347">
        <v>30</v>
      </c>
      <c r="AB347">
        <v>-1</v>
      </c>
      <c r="AC347">
        <v>0</v>
      </c>
      <c r="AD347">
        <v>-1</v>
      </c>
      <c r="AE347">
        <v>6</v>
      </c>
      <c r="AF347">
        <v>0</v>
      </c>
      <c r="AG347">
        <v>-1</v>
      </c>
      <c r="AH347">
        <v>-1</v>
      </c>
      <c r="AI347">
        <v>0</v>
      </c>
      <c r="AJ347">
        <v>1</v>
      </c>
      <c r="AK347" t="str">
        <f>VLOOKUP(AJ347, Lookups!$B$23:$C$28, 2, FALSE)</f>
        <v>Daylight</v>
      </c>
      <c r="AL347">
        <v>1</v>
      </c>
      <c r="AM347" t="str">
        <f>VLOOKUP(AL347, Lookups!$B$30:$C$39, 2, FALSE)</f>
        <v>Fine / Clear</v>
      </c>
      <c r="AN347">
        <v>1</v>
      </c>
      <c r="AO347" t="str">
        <f>VLOOKUP(AN347, Lookups!$B$41:$C$49, 2, FALSE)</f>
        <v>Dry</v>
      </c>
      <c r="AP347">
        <v>-1</v>
      </c>
      <c r="AQ347">
        <v>-1</v>
      </c>
      <c r="AR347">
        <v>0</v>
      </c>
      <c r="AS347">
        <v>1</v>
      </c>
      <c r="AT347">
        <v>1</v>
      </c>
      <c r="AU347">
        <v>2</v>
      </c>
      <c r="AV347" t="s">
        <v>241</v>
      </c>
      <c r="AW347">
        <v>7</v>
      </c>
      <c r="AX347">
        <v>1</v>
      </c>
      <c r="AY347">
        <v>1</v>
      </c>
      <c r="AZ347">
        <v>0</v>
      </c>
    </row>
    <row r="348" spans="1:52" x14ac:dyDescent="0.35">
      <c r="A348">
        <v>2025221564618</v>
      </c>
      <c r="B348">
        <v>2025</v>
      </c>
      <c r="C348">
        <v>221564618</v>
      </c>
      <c r="D348">
        <v>371075</v>
      </c>
      <c r="E348">
        <v>273396</v>
      </c>
      <c r="F348">
        <v>-2.4261400000000002</v>
      </c>
      <c r="G348">
        <v>52.357849999999999</v>
      </c>
      <c r="H348">
        <v>22</v>
      </c>
      <c r="I348">
        <v>3</v>
      </c>
      <c r="J348" t="str">
        <f>VLOOKUP(I348, Lookups!$B$1:$C$4, 2, FALSE)</f>
        <v>Slight</v>
      </c>
      <c r="K348">
        <v>2</v>
      </c>
      <c r="L348">
        <v>2</v>
      </c>
      <c r="M348" s="1">
        <v>45721</v>
      </c>
      <c r="N348">
        <v>4</v>
      </c>
      <c r="O348" t="str">
        <f>VLOOKUP(N348, Lookups!$B$6:$C$12, 2, FALSE)</f>
        <v>Wednesday</v>
      </c>
      <c r="P348" s="2">
        <v>0.61597222222222225</v>
      </c>
      <c r="Q348">
        <v>-1</v>
      </c>
      <c r="R348" t="s">
        <v>49</v>
      </c>
      <c r="S348" t="s">
        <v>45</v>
      </c>
      <c r="T348" t="s">
        <v>45</v>
      </c>
      <c r="U348">
        <v>4</v>
      </c>
      <c r="V348" t="str">
        <f>VLOOKUP(U348, Lookups!$B$51:$C$57, 2, FALSE)</f>
        <v>B</v>
      </c>
      <c r="W348">
        <v>4202</v>
      </c>
      <c r="X348" t="str">
        <f>V348&amp;W348</f>
        <v>B4202</v>
      </c>
      <c r="Y348">
        <v>6</v>
      </c>
      <c r="Z348" t="str">
        <f>VLOOKUP(Y348, Lookups!$B$14:$C$21, 2, FALSE)</f>
        <v>Single carriageway</v>
      </c>
      <c r="AA348">
        <v>60</v>
      </c>
      <c r="AB348">
        <v>-1</v>
      </c>
      <c r="AC348">
        <v>0</v>
      </c>
      <c r="AD348">
        <v>-1</v>
      </c>
      <c r="AE348">
        <v>0</v>
      </c>
      <c r="AF348">
        <v>-1</v>
      </c>
      <c r="AG348">
        <v>-1</v>
      </c>
      <c r="AH348">
        <v>-1</v>
      </c>
      <c r="AI348">
        <v>0</v>
      </c>
      <c r="AJ348">
        <v>1</v>
      </c>
      <c r="AK348" t="str">
        <f>VLOOKUP(AJ348, Lookups!$B$23:$C$28, 2, FALSE)</f>
        <v>Daylight</v>
      </c>
      <c r="AL348">
        <v>1</v>
      </c>
      <c r="AM348" t="str">
        <f>VLOOKUP(AL348, Lookups!$B$30:$C$39, 2, FALSE)</f>
        <v>Fine / Clear</v>
      </c>
      <c r="AN348">
        <v>1</v>
      </c>
      <c r="AO348" t="str">
        <f>VLOOKUP(AN348, Lookups!$B$41:$C$49, 2, FALSE)</f>
        <v>Dry</v>
      </c>
      <c r="AP348">
        <v>-1</v>
      </c>
      <c r="AQ348">
        <v>-1</v>
      </c>
      <c r="AR348">
        <v>0</v>
      </c>
      <c r="AS348">
        <v>2</v>
      </c>
      <c r="AT348">
        <v>1</v>
      </c>
      <c r="AU348">
        <v>2</v>
      </c>
      <c r="AV348" t="s">
        <v>123</v>
      </c>
      <c r="AW348">
        <v>3</v>
      </c>
      <c r="AX348">
        <v>1</v>
      </c>
      <c r="AY348">
        <v>0</v>
      </c>
      <c r="AZ348">
        <v>1</v>
      </c>
    </row>
    <row r="349" spans="1:52" x14ac:dyDescent="0.35">
      <c r="A349">
        <v>2025221614806</v>
      </c>
      <c r="B349">
        <v>2025</v>
      </c>
      <c r="C349">
        <v>221614806</v>
      </c>
      <c r="D349">
        <v>386532</v>
      </c>
      <c r="E349">
        <v>255083</v>
      </c>
      <c r="F349">
        <v>-2.1984499999999998</v>
      </c>
      <c r="G349">
        <v>52.193820000000002</v>
      </c>
      <c r="H349">
        <v>22</v>
      </c>
      <c r="I349">
        <v>3</v>
      </c>
      <c r="J349" t="str">
        <f>VLOOKUP(I349, Lookups!$B$1:$C$4, 2, FALSE)</f>
        <v>Slight</v>
      </c>
      <c r="K349">
        <v>2</v>
      </c>
      <c r="L349">
        <v>1</v>
      </c>
      <c r="M349" s="1">
        <v>45849</v>
      </c>
      <c r="N349">
        <v>6</v>
      </c>
      <c r="O349" t="str">
        <f>VLOOKUP(N349, Lookups!$B$6:$C$12, 2, FALSE)</f>
        <v>Friday</v>
      </c>
      <c r="P349" s="2">
        <v>0.69791666666666663</v>
      </c>
      <c r="Q349">
        <v>-1</v>
      </c>
      <c r="R349" t="s">
        <v>60</v>
      </c>
      <c r="S349" t="s">
        <v>45</v>
      </c>
      <c r="T349" t="s">
        <v>45</v>
      </c>
      <c r="U349">
        <v>6</v>
      </c>
      <c r="V349" t="str">
        <f>VLOOKUP(U349, Lookups!$B$51:$C$57, 2, FALSE)</f>
        <v>Unclassified</v>
      </c>
      <c r="W349">
        <v>0</v>
      </c>
      <c r="X349" t="s">
        <v>362</v>
      </c>
      <c r="Y349">
        <v>6</v>
      </c>
      <c r="Z349" t="str">
        <f>VLOOKUP(Y349, Lookups!$B$14:$C$21, 2, FALSE)</f>
        <v>Single carriageway</v>
      </c>
      <c r="AA349">
        <v>30</v>
      </c>
      <c r="AB349">
        <v>-1</v>
      </c>
      <c r="AC349">
        <v>13</v>
      </c>
      <c r="AD349">
        <v>4</v>
      </c>
      <c r="AE349">
        <v>6</v>
      </c>
      <c r="AF349">
        <v>0</v>
      </c>
      <c r="AG349">
        <v>-1</v>
      </c>
      <c r="AH349">
        <v>-1</v>
      </c>
      <c r="AI349">
        <v>0</v>
      </c>
      <c r="AJ349">
        <v>1</v>
      </c>
      <c r="AK349" t="str">
        <f>VLOOKUP(AJ349, Lookups!$B$23:$C$28, 2, FALSE)</f>
        <v>Daylight</v>
      </c>
      <c r="AL349">
        <v>1</v>
      </c>
      <c r="AM349" t="str">
        <f>VLOOKUP(AL349, Lookups!$B$30:$C$39, 2, FALSE)</f>
        <v>Fine / Clear</v>
      </c>
      <c r="AN349">
        <v>1</v>
      </c>
      <c r="AO349" t="str">
        <f>VLOOKUP(AN349, Lookups!$B$41:$C$49, 2, FALSE)</f>
        <v>Dry</v>
      </c>
      <c r="AP349">
        <v>-1</v>
      </c>
      <c r="AQ349">
        <v>-1</v>
      </c>
      <c r="AR349">
        <v>0</v>
      </c>
      <c r="AS349">
        <v>1</v>
      </c>
      <c r="AT349">
        <v>3</v>
      </c>
      <c r="AU349">
        <v>2</v>
      </c>
      <c r="AV349" t="s">
        <v>242</v>
      </c>
      <c r="AW349">
        <v>3</v>
      </c>
      <c r="AX349">
        <v>1</v>
      </c>
      <c r="AY349">
        <v>0</v>
      </c>
      <c r="AZ349">
        <v>1</v>
      </c>
    </row>
    <row r="350" spans="1:52" x14ac:dyDescent="0.35">
      <c r="A350">
        <v>2025221571746</v>
      </c>
      <c r="B350">
        <v>2025</v>
      </c>
      <c r="C350">
        <v>221571746</v>
      </c>
      <c r="D350">
        <v>384801</v>
      </c>
      <c r="E350">
        <v>240959</v>
      </c>
      <c r="F350">
        <v>-2.2231299999999998</v>
      </c>
      <c r="G350">
        <v>52.066789999999997</v>
      </c>
      <c r="H350">
        <v>22</v>
      </c>
      <c r="I350">
        <v>2</v>
      </c>
      <c r="J350" t="str">
        <f>VLOOKUP(I350, Lookups!$B$1:$C$4, 2, FALSE)</f>
        <v>Serious</v>
      </c>
      <c r="K350">
        <v>1</v>
      </c>
      <c r="L350">
        <v>2</v>
      </c>
      <c r="M350" s="1">
        <v>45747</v>
      </c>
      <c r="N350">
        <v>2</v>
      </c>
      <c r="O350" t="str">
        <f>VLOOKUP(N350, Lookups!$B$6:$C$12, 2, FALSE)</f>
        <v>Monday</v>
      </c>
      <c r="P350" s="2">
        <v>0.55555555555555558</v>
      </c>
      <c r="Q350">
        <v>-1</v>
      </c>
      <c r="R350" t="s">
        <v>49</v>
      </c>
      <c r="S350" t="s">
        <v>45</v>
      </c>
      <c r="T350" t="s">
        <v>45</v>
      </c>
      <c r="U350">
        <v>4</v>
      </c>
      <c r="V350" t="str">
        <f>VLOOKUP(U350, Lookups!$B$51:$C$57, 2, FALSE)</f>
        <v>B</v>
      </c>
      <c r="W350">
        <v>4211</v>
      </c>
      <c r="X350" t="str">
        <f>V350&amp;W350</f>
        <v>B4211</v>
      </c>
      <c r="Y350">
        <v>6</v>
      </c>
      <c r="Z350" t="str">
        <f>VLOOKUP(Y350, Lookups!$B$14:$C$21, 2, FALSE)</f>
        <v>Single carriageway</v>
      </c>
      <c r="AA350">
        <v>50</v>
      </c>
      <c r="AB350">
        <v>-1</v>
      </c>
      <c r="AC350">
        <v>0</v>
      </c>
      <c r="AD350">
        <v>-1</v>
      </c>
      <c r="AE350">
        <v>6</v>
      </c>
      <c r="AF350">
        <v>0</v>
      </c>
      <c r="AG350">
        <v>-1</v>
      </c>
      <c r="AH350">
        <v>-1</v>
      </c>
      <c r="AI350">
        <v>0</v>
      </c>
      <c r="AJ350">
        <v>1</v>
      </c>
      <c r="AK350" t="str">
        <f>VLOOKUP(AJ350, Lookups!$B$23:$C$28, 2, FALSE)</f>
        <v>Daylight</v>
      </c>
      <c r="AL350">
        <v>1</v>
      </c>
      <c r="AM350" t="str">
        <f>VLOOKUP(AL350, Lookups!$B$30:$C$39, 2, FALSE)</f>
        <v>Fine / Clear</v>
      </c>
      <c r="AN350">
        <v>1</v>
      </c>
      <c r="AO350" t="str">
        <f>VLOOKUP(AN350, Lookups!$B$41:$C$49, 2, FALSE)</f>
        <v>Dry</v>
      </c>
      <c r="AP350">
        <v>-1</v>
      </c>
      <c r="AQ350">
        <v>-1</v>
      </c>
      <c r="AR350">
        <v>0</v>
      </c>
      <c r="AS350">
        <v>2</v>
      </c>
      <c r="AT350">
        <v>1</v>
      </c>
      <c r="AU350">
        <v>2</v>
      </c>
      <c r="AV350" t="s">
        <v>243</v>
      </c>
      <c r="AW350">
        <v>6</v>
      </c>
      <c r="AX350">
        <v>1</v>
      </c>
      <c r="AY350">
        <v>1</v>
      </c>
      <c r="AZ350">
        <v>0</v>
      </c>
    </row>
    <row r="351" spans="1:52" x14ac:dyDescent="0.35">
      <c r="A351">
        <v>2025221662109</v>
      </c>
      <c r="B351">
        <v>2025</v>
      </c>
      <c r="C351">
        <v>221662109</v>
      </c>
      <c r="D351">
        <v>385161</v>
      </c>
      <c r="E351">
        <v>255121</v>
      </c>
      <c r="F351">
        <v>-2.2185000000000001</v>
      </c>
      <c r="G351">
        <v>52.194119999999998</v>
      </c>
      <c r="H351">
        <v>22</v>
      </c>
      <c r="I351">
        <v>1</v>
      </c>
      <c r="J351" t="str">
        <f>VLOOKUP(I351, Lookups!$B$1:$C$4, 2, FALSE)</f>
        <v>Fatal</v>
      </c>
      <c r="K351">
        <v>1</v>
      </c>
      <c r="L351">
        <v>1</v>
      </c>
      <c r="M351" s="1">
        <v>45952</v>
      </c>
      <c r="N351">
        <v>4</v>
      </c>
      <c r="O351" t="str">
        <f>VLOOKUP(N351, Lookups!$B$6:$C$12, 2, FALSE)</f>
        <v>Wednesday</v>
      </c>
      <c r="P351" s="2">
        <v>0.33750000000000002</v>
      </c>
      <c r="Q351">
        <v>-1</v>
      </c>
      <c r="R351" t="s">
        <v>60</v>
      </c>
      <c r="S351" t="s">
        <v>45</v>
      </c>
      <c r="T351" t="s">
        <v>45</v>
      </c>
      <c r="U351">
        <v>6</v>
      </c>
      <c r="V351" t="str">
        <f>VLOOKUP(U351, Lookups!$B$51:$C$57, 2, FALSE)</f>
        <v>Unclassified</v>
      </c>
      <c r="W351">
        <v>0</v>
      </c>
      <c r="X351" t="s">
        <v>362</v>
      </c>
      <c r="Y351">
        <v>6</v>
      </c>
      <c r="Z351" t="str">
        <f>VLOOKUP(Y351, Lookups!$B$14:$C$21, 2, FALSE)</f>
        <v>Single carriageway</v>
      </c>
      <c r="AA351">
        <v>30</v>
      </c>
      <c r="AB351">
        <v>-1</v>
      </c>
      <c r="AC351">
        <v>19</v>
      </c>
      <c r="AD351">
        <v>4</v>
      </c>
      <c r="AE351">
        <v>6</v>
      </c>
      <c r="AF351">
        <v>0</v>
      </c>
      <c r="AG351">
        <v>-1</v>
      </c>
      <c r="AH351">
        <v>-1</v>
      </c>
      <c r="AI351">
        <v>0</v>
      </c>
      <c r="AJ351">
        <v>1</v>
      </c>
      <c r="AK351" t="str">
        <f>VLOOKUP(AJ351, Lookups!$B$23:$C$28, 2, FALSE)</f>
        <v>Daylight</v>
      </c>
      <c r="AL351">
        <v>1</v>
      </c>
      <c r="AM351" t="str">
        <f>VLOOKUP(AL351, Lookups!$B$30:$C$39, 2, FALSE)</f>
        <v>Fine / Clear</v>
      </c>
      <c r="AN351">
        <v>1</v>
      </c>
      <c r="AO351" t="str">
        <f>VLOOKUP(AN351, Lookups!$B$41:$C$49, 2, FALSE)</f>
        <v>Dry</v>
      </c>
      <c r="AP351">
        <v>-1</v>
      </c>
      <c r="AQ351">
        <v>-1</v>
      </c>
      <c r="AR351">
        <v>0</v>
      </c>
      <c r="AS351">
        <v>1</v>
      </c>
      <c r="AT351">
        <v>1</v>
      </c>
      <c r="AU351">
        <v>2</v>
      </c>
      <c r="AV351" t="s">
        <v>79</v>
      </c>
      <c r="AW351">
        <v>1</v>
      </c>
      <c r="AX351">
        <v>1</v>
      </c>
      <c r="AY351">
        <v>0</v>
      </c>
      <c r="AZ351">
        <v>0</v>
      </c>
    </row>
    <row r="352" spans="1:52" x14ac:dyDescent="0.35">
      <c r="A352">
        <v>2025221551500</v>
      </c>
      <c r="B352">
        <v>2025</v>
      </c>
      <c r="C352">
        <v>221551500</v>
      </c>
      <c r="D352">
        <v>388981</v>
      </c>
      <c r="E352">
        <v>254196</v>
      </c>
      <c r="F352">
        <v>-2.1625899999999998</v>
      </c>
      <c r="G352">
        <v>52.185899999999997</v>
      </c>
      <c r="H352">
        <v>22</v>
      </c>
      <c r="I352">
        <v>2</v>
      </c>
      <c r="J352" t="str">
        <f>VLOOKUP(I352, Lookups!$B$1:$C$4, 2, FALSE)</f>
        <v>Serious</v>
      </c>
      <c r="K352">
        <v>3</v>
      </c>
      <c r="L352">
        <v>2</v>
      </c>
      <c r="M352" s="1">
        <v>45694</v>
      </c>
      <c r="N352">
        <v>5</v>
      </c>
      <c r="O352" t="str">
        <f>VLOOKUP(N352, Lookups!$B$6:$C$12, 2, FALSE)</f>
        <v>Thursday</v>
      </c>
      <c r="P352" s="2">
        <v>0.77430555555555558</v>
      </c>
      <c r="Q352">
        <v>-1</v>
      </c>
      <c r="R352" t="s">
        <v>54</v>
      </c>
      <c r="S352" t="s">
        <v>45</v>
      </c>
      <c r="T352" t="s">
        <v>45</v>
      </c>
      <c r="U352">
        <v>3</v>
      </c>
      <c r="V352" t="str">
        <f>VLOOKUP(U352, Lookups!$B$51:$C$57, 2, FALSE)</f>
        <v>A</v>
      </c>
      <c r="W352">
        <v>44</v>
      </c>
      <c r="X352" t="str">
        <f>V352&amp;W352</f>
        <v>A44</v>
      </c>
      <c r="Y352">
        <v>6</v>
      </c>
      <c r="Z352" t="str">
        <f>VLOOKUP(Y352, Lookups!$B$14:$C$21, 2, FALSE)</f>
        <v>Single carriageway</v>
      </c>
      <c r="AA352">
        <v>60</v>
      </c>
      <c r="AB352">
        <v>-1</v>
      </c>
      <c r="AC352">
        <v>0</v>
      </c>
      <c r="AD352">
        <v>-1</v>
      </c>
      <c r="AE352">
        <v>6</v>
      </c>
      <c r="AF352">
        <v>0</v>
      </c>
      <c r="AG352">
        <v>-1</v>
      </c>
      <c r="AH352">
        <v>-1</v>
      </c>
      <c r="AI352">
        <v>0</v>
      </c>
      <c r="AJ352">
        <v>6</v>
      </c>
      <c r="AK352" t="str">
        <f>VLOOKUP(AJ352, Lookups!$B$23:$C$28, 2, FALSE)</f>
        <v>Darkness (Unlit)</v>
      </c>
      <c r="AL352">
        <v>1</v>
      </c>
      <c r="AM352" t="str">
        <f>VLOOKUP(AL352, Lookups!$B$30:$C$39, 2, FALSE)</f>
        <v>Fine / Clear</v>
      </c>
      <c r="AN352">
        <v>1</v>
      </c>
      <c r="AO352" t="str">
        <f>VLOOKUP(AN352, Lookups!$B$41:$C$49, 2, FALSE)</f>
        <v>Dry</v>
      </c>
      <c r="AP352">
        <v>-1</v>
      </c>
      <c r="AQ352">
        <v>-1</v>
      </c>
      <c r="AR352">
        <v>12</v>
      </c>
      <c r="AS352">
        <v>2</v>
      </c>
      <c r="AT352">
        <v>1</v>
      </c>
      <c r="AU352">
        <v>2</v>
      </c>
      <c r="AV352" t="s">
        <v>55</v>
      </c>
      <c r="AW352">
        <v>7</v>
      </c>
      <c r="AX352">
        <v>1</v>
      </c>
      <c r="AY352">
        <v>1</v>
      </c>
      <c r="AZ352">
        <v>0</v>
      </c>
    </row>
    <row r="353" spans="1:52" x14ac:dyDescent="0.35">
      <c r="A353">
        <v>2025221608010</v>
      </c>
      <c r="B353">
        <v>2025</v>
      </c>
      <c r="C353">
        <v>221608010</v>
      </c>
      <c r="D353">
        <v>404398</v>
      </c>
      <c r="E353">
        <v>268569</v>
      </c>
      <c r="F353">
        <v>-1.9369099999999999</v>
      </c>
      <c r="G353">
        <v>52.31521</v>
      </c>
      <c r="H353">
        <v>22</v>
      </c>
      <c r="I353">
        <v>3</v>
      </c>
      <c r="J353" t="str">
        <f>VLOOKUP(I353, Lookups!$B$1:$C$4, 2, FALSE)</f>
        <v>Slight</v>
      </c>
      <c r="K353">
        <v>1</v>
      </c>
      <c r="L353">
        <v>1</v>
      </c>
      <c r="M353" s="1">
        <v>45826</v>
      </c>
      <c r="N353">
        <v>4</v>
      </c>
      <c r="O353" t="str">
        <f>VLOOKUP(N353, Lookups!$B$6:$C$12, 2, FALSE)</f>
        <v>Wednesday</v>
      </c>
      <c r="P353" s="2">
        <v>0.80208333333333337</v>
      </c>
      <c r="Q353">
        <v>-1</v>
      </c>
      <c r="R353" t="s">
        <v>69</v>
      </c>
      <c r="S353" t="s">
        <v>45</v>
      </c>
      <c r="T353" t="s">
        <v>45</v>
      </c>
      <c r="U353">
        <v>6</v>
      </c>
      <c r="V353" t="str">
        <f>VLOOKUP(U353, Lookups!$B$51:$C$57, 2, FALSE)</f>
        <v>Unclassified</v>
      </c>
      <c r="W353">
        <v>0</v>
      </c>
      <c r="X353" t="s">
        <v>362</v>
      </c>
      <c r="Y353">
        <v>6</v>
      </c>
      <c r="Z353" t="str">
        <f>VLOOKUP(Y353, Lookups!$B$14:$C$21, 2, FALSE)</f>
        <v>Single carriageway</v>
      </c>
      <c r="AA353">
        <v>30</v>
      </c>
      <c r="AB353">
        <v>-1</v>
      </c>
      <c r="AC353">
        <v>13</v>
      </c>
      <c r="AD353">
        <v>4</v>
      </c>
      <c r="AE353">
        <v>6</v>
      </c>
      <c r="AF353">
        <v>0</v>
      </c>
      <c r="AG353">
        <v>-1</v>
      </c>
      <c r="AH353">
        <v>-1</v>
      </c>
      <c r="AI353">
        <v>0</v>
      </c>
      <c r="AJ353">
        <v>1</v>
      </c>
      <c r="AK353" t="str">
        <f>VLOOKUP(AJ353, Lookups!$B$23:$C$28, 2, FALSE)</f>
        <v>Daylight</v>
      </c>
      <c r="AL353">
        <v>1</v>
      </c>
      <c r="AM353" t="str">
        <f>VLOOKUP(AL353, Lookups!$B$30:$C$39, 2, FALSE)</f>
        <v>Fine / Clear</v>
      </c>
      <c r="AN353">
        <v>1</v>
      </c>
      <c r="AO353" t="str">
        <f>VLOOKUP(AN353, Lookups!$B$41:$C$49, 2, FALSE)</f>
        <v>Dry</v>
      </c>
      <c r="AP353">
        <v>-1</v>
      </c>
      <c r="AQ353">
        <v>-1</v>
      </c>
      <c r="AR353">
        <v>0</v>
      </c>
      <c r="AS353">
        <v>2</v>
      </c>
      <c r="AT353">
        <v>3</v>
      </c>
      <c r="AU353">
        <v>2</v>
      </c>
      <c r="AV353" t="s">
        <v>244</v>
      </c>
      <c r="AW353">
        <v>3</v>
      </c>
      <c r="AX353">
        <v>1</v>
      </c>
      <c r="AY353">
        <v>0</v>
      </c>
      <c r="AZ353">
        <v>1</v>
      </c>
    </row>
    <row r="354" spans="1:52" x14ac:dyDescent="0.35">
      <c r="A354">
        <v>2025221550264</v>
      </c>
      <c r="B354">
        <v>2025</v>
      </c>
      <c r="C354">
        <v>221550264</v>
      </c>
      <c r="D354">
        <v>391854</v>
      </c>
      <c r="E354">
        <v>281146</v>
      </c>
      <c r="F354">
        <v>-2.1212300000000002</v>
      </c>
      <c r="G354">
        <v>52.428229999999999</v>
      </c>
      <c r="H354">
        <v>22</v>
      </c>
      <c r="I354">
        <v>3</v>
      </c>
      <c r="J354" t="str">
        <f>VLOOKUP(I354, Lookups!$B$1:$C$4, 2, FALSE)</f>
        <v>Slight</v>
      </c>
      <c r="K354">
        <v>2</v>
      </c>
      <c r="L354">
        <v>1</v>
      </c>
      <c r="M354" s="1">
        <v>45692</v>
      </c>
      <c r="N354">
        <v>3</v>
      </c>
      <c r="O354" t="str">
        <f>VLOOKUP(N354, Lookups!$B$6:$C$12, 2, FALSE)</f>
        <v>Tuesday</v>
      </c>
      <c r="P354" s="2">
        <v>0.36805555555555558</v>
      </c>
      <c r="Q354">
        <v>-1</v>
      </c>
      <c r="R354" t="s">
        <v>47</v>
      </c>
      <c r="S354" t="s">
        <v>45</v>
      </c>
      <c r="T354" t="s">
        <v>45</v>
      </c>
      <c r="U354">
        <v>3</v>
      </c>
      <c r="V354" t="str">
        <f>VLOOKUP(U354, Lookups!$B$51:$C$57, 2, FALSE)</f>
        <v>A</v>
      </c>
      <c r="W354">
        <v>456</v>
      </c>
      <c r="X354" t="str">
        <f t="shared" ref="X354:X357" si="47">V354&amp;W354</f>
        <v>A456</v>
      </c>
      <c r="Y354">
        <v>3</v>
      </c>
      <c r="Z354" t="str">
        <f>VLOOKUP(Y354, Lookups!$B$14:$C$21, 2, FALSE)</f>
        <v>Dual carriageway</v>
      </c>
      <c r="AA354">
        <v>40</v>
      </c>
      <c r="AB354">
        <v>-1</v>
      </c>
      <c r="AC354">
        <v>18</v>
      </c>
      <c r="AD354">
        <v>4</v>
      </c>
      <c r="AE354">
        <v>6</v>
      </c>
      <c r="AF354">
        <v>0</v>
      </c>
      <c r="AG354">
        <v>-1</v>
      </c>
      <c r="AH354">
        <v>-1</v>
      </c>
      <c r="AI354">
        <v>0</v>
      </c>
      <c r="AJ354">
        <v>1</v>
      </c>
      <c r="AK354" t="str">
        <f>VLOOKUP(AJ354, Lookups!$B$23:$C$28, 2, FALSE)</f>
        <v>Daylight</v>
      </c>
      <c r="AL354">
        <v>1</v>
      </c>
      <c r="AM354" t="str">
        <f>VLOOKUP(AL354, Lookups!$B$30:$C$39, 2, FALSE)</f>
        <v>Fine / Clear</v>
      </c>
      <c r="AN354">
        <v>1</v>
      </c>
      <c r="AO354" t="str">
        <f>VLOOKUP(AN354, Lookups!$B$41:$C$49, 2, FALSE)</f>
        <v>Dry</v>
      </c>
      <c r="AP354">
        <v>-1</v>
      </c>
      <c r="AQ354">
        <v>-1</v>
      </c>
      <c r="AR354">
        <v>0</v>
      </c>
      <c r="AS354">
        <v>1</v>
      </c>
      <c r="AT354">
        <v>3</v>
      </c>
      <c r="AU354">
        <v>2</v>
      </c>
      <c r="AV354" t="s">
        <v>73</v>
      </c>
      <c r="AW354">
        <v>3</v>
      </c>
      <c r="AX354">
        <v>1</v>
      </c>
      <c r="AY354">
        <v>0</v>
      </c>
      <c r="AZ354">
        <v>1</v>
      </c>
    </row>
    <row r="355" spans="1:52" x14ac:dyDescent="0.35">
      <c r="A355">
        <v>2025221584894</v>
      </c>
      <c r="B355">
        <v>2025</v>
      </c>
      <c r="C355">
        <v>221584894</v>
      </c>
      <c r="D355">
        <v>392538</v>
      </c>
      <c r="E355">
        <v>281362</v>
      </c>
      <c r="F355">
        <v>-2.11117</v>
      </c>
      <c r="G355">
        <v>52.430190000000003</v>
      </c>
      <c r="H355">
        <v>22</v>
      </c>
      <c r="I355">
        <v>2</v>
      </c>
      <c r="J355" t="str">
        <f>VLOOKUP(I355, Lookups!$B$1:$C$4, 2, FALSE)</f>
        <v>Serious</v>
      </c>
      <c r="K355">
        <v>2</v>
      </c>
      <c r="L355">
        <v>1</v>
      </c>
      <c r="M355" s="1">
        <v>45769</v>
      </c>
      <c r="N355">
        <v>3</v>
      </c>
      <c r="O355" t="str">
        <f>VLOOKUP(N355, Lookups!$B$6:$C$12, 2, FALSE)</f>
        <v>Tuesday</v>
      </c>
      <c r="P355" s="2">
        <v>0.39583333333333331</v>
      </c>
      <c r="Q355">
        <v>-1</v>
      </c>
      <c r="R355" t="s">
        <v>47</v>
      </c>
      <c r="S355" t="s">
        <v>45</v>
      </c>
      <c r="T355" t="s">
        <v>45</v>
      </c>
      <c r="U355">
        <v>3</v>
      </c>
      <c r="V355" t="str">
        <f>VLOOKUP(U355, Lookups!$B$51:$C$57, 2, FALSE)</f>
        <v>A</v>
      </c>
      <c r="W355">
        <v>456</v>
      </c>
      <c r="X355" t="str">
        <f t="shared" si="47"/>
        <v>A456</v>
      </c>
      <c r="Y355">
        <v>1</v>
      </c>
      <c r="Z355" t="str">
        <f>VLOOKUP(Y355, Lookups!$B$14:$C$21, 2, FALSE)</f>
        <v>Roundabout</v>
      </c>
      <c r="AA355">
        <v>40</v>
      </c>
      <c r="AB355">
        <v>-1</v>
      </c>
      <c r="AC355">
        <v>-1</v>
      </c>
      <c r="AD355">
        <v>4</v>
      </c>
      <c r="AE355">
        <v>3</v>
      </c>
      <c r="AF355">
        <v>456</v>
      </c>
      <c r="AG355">
        <v>-1</v>
      </c>
      <c r="AH355">
        <v>-1</v>
      </c>
      <c r="AI355">
        <v>0</v>
      </c>
      <c r="AJ355">
        <v>1</v>
      </c>
      <c r="AK355" t="str">
        <f>VLOOKUP(AJ355, Lookups!$B$23:$C$28, 2, FALSE)</f>
        <v>Daylight</v>
      </c>
      <c r="AL355">
        <v>1</v>
      </c>
      <c r="AM355" t="str">
        <f>VLOOKUP(AL355, Lookups!$B$30:$C$39, 2, FALSE)</f>
        <v>Fine / Clear</v>
      </c>
      <c r="AN355">
        <v>1</v>
      </c>
      <c r="AO355" t="str">
        <f>VLOOKUP(AN355, Lookups!$B$41:$C$49, 2, FALSE)</f>
        <v>Dry</v>
      </c>
      <c r="AP355">
        <v>-1</v>
      </c>
      <c r="AQ355">
        <v>-1</v>
      </c>
      <c r="AR355">
        <v>0</v>
      </c>
      <c r="AS355">
        <v>2</v>
      </c>
      <c r="AT355">
        <v>3</v>
      </c>
      <c r="AU355">
        <v>2</v>
      </c>
      <c r="AV355" t="s">
        <v>73</v>
      </c>
      <c r="AW355">
        <v>6</v>
      </c>
      <c r="AX355">
        <v>1</v>
      </c>
      <c r="AY355">
        <v>1</v>
      </c>
      <c r="AZ355">
        <v>0</v>
      </c>
    </row>
    <row r="356" spans="1:52" x14ac:dyDescent="0.35">
      <c r="A356">
        <v>2025221583322</v>
      </c>
      <c r="B356">
        <v>2025</v>
      </c>
      <c r="C356">
        <v>221583322</v>
      </c>
      <c r="D356">
        <v>385462</v>
      </c>
      <c r="E356">
        <v>273011</v>
      </c>
      <c r="F356">
        <v>-2.21488</v>
      </c>
      <c r="G356">
        <v>52.354970000000002</v>
      </c>
      <c r="H356">
        <v>22</v>
      </c>
      <c r="I356">
        <v>2</v>
      </c>
      <c r="J356" t="str">
        <f>VLOOKUP(I356, Lookups!$B$1:$C$4, 2, FALSE)</f>
        <v>Serious</v>
      </c>
      <c r="K356">
        <v>2</v>
      </c>
      <c r="L356">
        <v>2</v>
      </c>
      <c r="M356" s="1">
        <v>45776</v>
      </c>
      <c r="N356">
        <v>3</v>
      </c>
      <c r="O356" t="str">
        <f>VLOOKUP(N356, Lookups!$B$6:$C$12, 2, FALSE)</f>
        <v>Tuesday</v>
      </c>
      <c r="P356" s="2">
        <v>0.28472222222222221</v>
      </c>
      <c r="Q356">
        <v>-1</v>
      </c>
      <c r="R356" t="s">
        <v>54</v>
      </c>
      <c r="S356" t="s">
        <v>45</v>
      </c>
      <c r="T356" t="s">
        <v>45</v>
      </c>
      <c r="U356">
        <v>3</v>
      </c>
      <c r="V356" t="str">
        <f>VLOOKUP(U356, Lookups!$B$51:$C$57, 2, FALSE)</f>
        <v>A</v>
      </c>
      <c r="W356">
        <v>450</v>
      </c>
      <c r="X356" t="str">
        <f t="shared" si="47"/>
        <v>A450</v>
      </c>
      <c r="Y356">
        <v>6</v>
      </c>
      <c r="Z356" t="str">
        <f>VLOOKUP(Y356, Lookups!$B$14:$C$21, 2, FALSE)</f>
        <v>Single carriageway</v>
      </c>
      <c r="AA356">
        <v>60</v>
      </c>
      <c r="AB356">
        <v>-1</v>
      </c>
      <c r="AC356">
        <v>0</v>
      </c>
      <c r="AD356">
        <v>-1</v>
      </c>
      <c r="AE356">
        <v>0</v>
      </c>
      <c r="AF356">
        <v>-1</v>
      </c>
      <c r="AG356">
        <v>-1</v>
      </c>
      <c r="AH356">
        <v>-1</v>
      </c>
      <c r="AI356">
        <v>0</v>
      </c>
      <c r="AJ356">
        <v>1</v>
      </c>
      <c r="AK356" t="str">
        <f>VLOOKUP(AJ356, Lookups!$B$23:$C$28, 2, FALSE)</f>
        <v>Daylight</v>
      </c>
      <c r="AL356">
        <v>1</v>
      </c>
      <c r="AM356" t="str">
        <f>VLOOKUP(AL356, Lookups!$B$30:$C$39, 2, FALSE)</f>
        <v>Fine / Clear</v>
      </c>
      <c r="AN356">
        <v>1</v>
      </c>
      <c r="AO356" t="str">
        <f>VLOOKUP(AN356, Lookups!$B$41:$C$49, 2, FALSE)</f>
        <v>Dry</v>
      </c>
      <c r="AP356">
        <v>-1</v>
      </c>
      <c r="AQ356">
        <v>-1</v>
      </c>
      <c r="AR356">
        <v>0</v>
      </c>
      <c r="AS356">
        <v>2</v>
      </c>
      <c r="AT356">
        <v>1</v>
      </c>
      <c r="AU356">
        <v>2</v>
      </c>
      <c r="AV356" t="s">
        <v>228</v>
      </c>
      <c r="AW356">
        <v>6</v>
      </c>
      <c r="AX356">
        <v>1</v>
      </c>
      <c r="AY356">
        <v>1</v>
      </c>
      <c r="AZ356">
        <v>0</v>
      </c>
    </row>
    <row r="357" spans="1:52" x14ac:dyDescent="0.35">
      <c r="A357">
        <v>2025221635537</v>
      </c>
      <c r="B357">
        <v>2025</v>
      </c>
      <c r="C357">
        <v>221635537</v>
      </c>
      <c r="D357">
        <v>378772</v>
      </c>
      <c r="E357">
        <v>245627</v>
      </c>
      <c r="F357">
        <v>-2.3113700000000001</v>
      </c>
      <c r="G357">
        <v>52.108559999999997</v>
      </c>
      <c r="H357">
        <v>22</v>
      </c>
      <c r="I357">
        <v>3</v>
      </c>
      <c r="J357" t="str">
        <f>VLOOKUP(I357, Lookups!$B$1:$C$4, 2, FALSE)</f>
        <v>Slight</v>
      </c>
      <c r="K357">
        <v>2</v>
      </c>
      <c r="L357">
        <v>2</v>
      </c>
      <c r="M357" s="1">
        <v>45899</v>
      </c>
      <c r="N357">
        <v>7</v>
      </c>
      <c r="O357" t="str">
        <f>VLOOKUP(N357, Lookups!$B$6:$C$12, 2, FALSE)</f>
        <v>Saturday</v>
      </c>
      <c r="P357" s="2">
        <v>0.6875</v>
      </c>
      <c r="Q357">
        <v>-1</v>
      </c>
      <c r="R357" t="s">
        <v>49</v>
      </c>
      <c r="S357" t="s">
        <v>45</v>
      </c>
      <c r="T357" t="s">
        <v>45</v>
      </c>
      <c r="U357">
        <v>4</v>
      </c>
      <c r="V357" t="str">
        <f>VLOOKUP(U357, Lookups!$B$51:$C$57, 2, FALSE)</f>
        <v>B</v>
      </c>
      <c r="W357">
        <v>4208</v>
      </c>
      <c r="X357" t="str">
        <f t="shared" si="47"/>
        <v>B4208</v>
      </c>
      <c r="Y357">
        <v>3</v>
      </c>
      <c r="Z357" t="str">
        <f>VLOOKUP(Y357, Lookups!$B$14:$C$21, 2, FALSE)</f>
        <v>Dual carriageway</v>
      </c>
      <c r="AA357">
        <v>30</v>
      </c>
      <c r="AB357">
        <v>-1</v>
      </c>
      <c r="AC357">
        <v>0</v>
      </c>
      <c r="AD357">
        <v>-1</v>
      </c>
      <c r="AE357">
        <v>6</v>
      </c>
      <c r="AF357">
        <v>0</v>
      </c>
      <c r="AG357">
        <v>-1</v>
      </c>
      <c r="AH357">
        <v>-1</v>
      </c>
      <c r="AI357">
        <v>14</v>
      </c>
      <c r="AJ357">
        <v>1</v>
      </c>
      <c r="AK357" t="str">
        <f>VLOOKUP(AJ357, Lookups!$B$23:$C$28, 2, FALSE)</f>
        <v>Daylight</v>
      </c>
      <c r="AL357">
        <v>2</v>
      </c>
      <c r="AM357" t="str">
        <f>VLOOKUP(AL357, Lookups!$B$30:$C$39, 2, FALSE)</f>
        <v>Rain</v>
      </c>
      <c r="AN357">
        <v>2</v>
      </c>
      <c r="AO357" t="str">
        <f>VLOOKUP(AN357, Lookups!$B$41:$C$49, 2, FALSE)</f>
        <v>Wet / damp</v>
      </c>
      <c r="AP357">
        <v>-1</v>
      </c>
      <c r="AQ357">
        <v>-1</v>
      </c>
      <c r="AR357">
        <v>0</v>
      </c>
      <c r="AS357">
        <v>1</v>
      </c>
      <c r="AT357">
        <v>3</v>
      </c>
      <c r="AU357">
        <v>2</v>
      </c>
      <c r="AV357" t="s">
        <v>239</v>
      </c>
      <c r="AW357">
        <v>3</v>
      </c>
      <c r="AX357">
        <v>1</v>
      </c>
      <c r="AY357">
        <v>0</v>
      </c>
      <c r="AZ357">
        <v>1</v>
      </c>
    </row>
    <row r="358" spans="1:52" x14ac:dyDescent="0.35">
      <c r="A358">
        <v>2025221671397</v>
      </c>
      <c r="B358">
        <v>2025</v>
      </c>
      <c r="C358">
        <v>221671397</v>
      </c>
      <c r="D358">
        <v>395358</v>
      </c>
      <c r="E358">
        <v>270000</v>
      </c>
      <c r="F358">
        <v>-2.0695399999999999</v>
      </c>
      <c r="G358">
        <v>52.328069999999997</v>
      </c>
      <c r="H358">
        <v>22</v>
      </c>
      <c r="I358">
        <v>3</v>
      </c>
      <c r="J358" t="str">
        <f>VLOOKUP(I358, Lookups!$B$1:$C$4, 2, FALSE)</f>
        <v>Slight</v>
      </c>
      <c r="K358">
        <v>2</v>
      </c>
      <c r="L358">
        <v>1</v>
      </c>
      <c r="M358" s="1">
        <v>45981</v>
      </c>
      <c r="N358">
        <v>5</v>
      </c>
      <c r="O358" t="str">
        <f>VLOOKUP(N358, Lookups!$B$6:$C$12, 2, FALSE)</f>
        <v>Thursday</v>
      </c>
      <c r="P358" s="2">
        <v>0.36458333333333331</v>
      </c>
      <c r="Q358">
        <v>-1</v>
      </c>
      <c r="R358" t="s">
        <v>47</v>
      </c>
      <c r="S358" t="s">
        <v>45</v>
      </c>
      <c r="T358" t="s">
        <v>45</v>
      </c>
      <c r="U358">
        <v>6</v>
      </c>
      <c r="V358" t="str">
        <f>VLOOKUP(U358, Lookups!$B$51:$C$57, 2, FALSE)</f>
        <v>Unclassified</v>
      </c>
      <c r="W358">
        <v>0</v>
      </c>
      <c r="X358" t="s">
        <v>362</v>
      </c>
      <c r="Y358">
        <v>6</v>
      </c>
      <c r="Z358" t="str">
        <f>VLOOKUP(Y358, Lookups!$B$14:$C$21, 2, FALSE)</f>
        <v>Single carriageway</v>
      </c>
      <c r="AA358">
        <v>30</v>
      </c>
      <c r="AB358">
        <v>-1</v>
      </c>
      <c r="AC358">
        <v>13</v>
      </c>
      <c r="AD358">
        <v>4</v>
      </c>
      <c r="AE358">
        <v>4</v>
      </c>
      <c r="AF358">
        <v>4091</v>
      </c>
      <c r="AG358">
        <v>-1</v>
      </c>
      <c r="AH358">
        <v>-1</v>
      </c>
      <c r="AI358">
        <v>0</v>
      </c>
      <c r="AJ358">
        <v>1</v>
      </c>
      <c r="AK358" t="str">
        <f>VLOOKUP(AJ358, Lookups!$B$23:$C$28, 2, FALSE)</f>
        <v>Daylight</v>
      </c>
      <c r="AL358">
        <v>1</v>
      </c>
      <c r="AM358" t="str">
        <f>VLOOKUP(AL358, Lookups!$B$30:$C$39, 2, FALSE)</f>
        <v>Fine / Clear</v>
      </c>
      <c r="AN358">
        <v>1</v>
      </c>
      <c r="AO358" t="str">
        <f>VLOOKUP(AN358, Lookups!$B$41:$C$49, 2, FALSE)</f>
        <v>Dry</v>
      </c>
      <c r="AP358">
        <v>-1</v>
      </c>
      <c r="AQ358">
        <v>-1</v>
      </c>
      <c r="AR358">
        <v>0</v>
      </c>
      <c r="AS358">
        <v>1</v>
      </c>
      <c r="AT358">
        <v>3</v>
      </c>
      <c r="AU358">
        <v>2</v>
      </c>
      <c r="AV358" t="s">
        <v>116</v>
      </c>
      <c r="AW358">
        <v>3</v>
      </c>
      <c r="AX358">
        <v>1</v>
      </c>
      <c r="AY358">
        <v>0</v>
      </c>
      <c r="AZ358">
        <v>1</v>
      </c>
    </row>
    <row r="359" spans="1:52" x14ac:dyDescent="0.35">
      <c r="A359">
        <v>2025221659178</v>
      </c>
      <c r="B359">
        <v>2025</v>
      </c>
      <c r="C359">
        <v>221659178</v>
      </c>
      <c r="D359">
        <v>379651</v>
      </c>
      <c r="E359">
        <v>274303</v>
      </c>
      <c r="F359">
        <v>-2.3002799999999999</v>
      </c>
      <c r="G359">
        <v>52.366399999999999</v>
      </c>
      <c r="H359">
        <v>22</v>
      </c>
      <c r="I359">
        <v>2</v>
      </c>
      <c r="J359" t="str">
        <f>VLOOKUP(I359, Lookups!$B$1:$C$4, 2, FALSE)</f>
        <v>Serious</v>
      </c>
      <c r="K359">
        <v>1</v>
      </c>
      <c r="L359">
        <v>1</v>
      </c>
      <c r="M359" s="1">
        <v>45955</v>
      </c>
      <c r="N359">
        <v>7</v>
      </c>
      <c r="O359" t="str">
        <f>VLOOKUP(N359, Lookups!$B$6:$C$12, 2, FALSE)</f>
        <v>Saturday</v>
      </c>
      <c r="P359" s="2">
        <v>0.875</v>
      </c>
      <c r="Q359">
        <v>-1</v>
      </c>
      <c r="R359" t="s">
        <v>44</v>
      </c>
      <c r="S359" t="s">
        <v>45</v>
      </c>
      <c r="T359" t="s">
        <v>45</v>
      </c>
      <c r="U359">
        <v>3</v>
      </c>
      <c r="V359" t="str">
        <f>VLOOKUP(U359, Lookups!$B$51:$C$57, 2, FALSE)</f>
        <v>A</v>
      </c>
      <c r="W359">
        <v>456</v>
      </c>
      <c r="X359" t="str">
        <f t="shared" ref="X359:X361" si="48">V359&amp;W359</f>
        <v>A456</v>
      </c>
      <c r="Y359">
        <v>1</v>
      </c>
      <c r="Z359" t="str">
        <f>VLOOKUP(Y359, Lookups!$B$14:$C$21, 2, FALSE)</f>
        <v>Roundabout</v>
      </c>
      <c r="AA359">
        <v>50</v>
      </c>
      <c r="AB359">
        <v>-1</v>
      </c>
      <c r="AC359">
        <v>-1</v>
      </c>
      <c r="AD359">
        <v>4</v>
      </c>
      <c r="AE359">
        <v>3</v>
      </c>
      <c r="AF359">
        <v>456</v>
      </c>
      <c r="AG359">
        <v>-1</v>
      </c>
      <c r="AH359">
        <v>-1</v>
      </c>
      <c r="AI359">
        <v>0</v>
      </c>
      <c r="AJ359">
        <v>4</v>
      </c>
      <c r="AK359" t="str">
        <f>VLOOKUP(AJ359, Lookups!$B$23:$C$28, 2, FALSE)</f>
        <v>Darkness (Lit)</v>
      </c>
      <c r="AL359">
        <v>2</v>
      </c>
      <c r="AM359" t="str">
        <f>VLOOKUP(AL359, Lookups!$B$30:$C$39, 2, FALSE)</f>
        <v>Rain</v>
      </c>
      <c r="AN359">
        <v>2</v>
      </c>
      <c r="AO359" t="str">
        <f>VLOOKUP(AN359, Lookups!$B$41:$C$49, 2, FALSE)</f>
        <v>Wet / damp</v>
      </c>
      <c r="AP359">
        <v>-1</v>
      </c>
      <c r="AQ359">
        <v>-1</v>
      </c>
      <c r="AR359">
        <v>0</v>
      </c>
      <c r="AS359">
        <v>2</v>
      </c>
      <c r="AT359">
        <v>1</v>
      </c>
      <c r="AU359">
        <v>2</v>
      </c>
      <c r="AV359" t="s">
        <v>91</v>
      </c>
      <c r="AW359">
        <v>5</v>
      </c>
      <c r="AX359">
        <v>1</v>
      </c>
      <c r="AY359">
        <v>1</v>
      </c>
      <c r="AZ359">
        <v>0</v>
      </c>
    </row>
    <row r="360" spans="1:52" x14ac:dyDescent="0.35">
      <c r="A360">
        <v>2025221661921</v>
      </c>
      <c r="B360">
        <v>2025</v>
      </c>
      <c r="C360">
        <v>221661921</v>
      </c>
      <c r="D360">
        <v>388018</v>
      </c>
      <c r="E360">
        <v>257150</v>
      </c>
      <c r="F360">
        <v>-2.1767799999999999</v>
      </c>
      <c r="G360">
        <v>52.212440000000001</v>
      </c>
      <c r="H360">
        <v>22</v>
      </c>
      <c r="I360">
        <v>2</v>
      </c>
      <c r="J360" t="str">
        <f>VLOOKUP(I360, Lookups!$B$1:$C$4, 2, FALSE)</f>
        <v>Serious</v>
      </c>
      <c r="K360">
        <v>2</v>
      </c>
      <c r="L360">
        <v>1</v>
      </c>
      <c r="M360" s="1">
        <v>45961</v>
      </c>
      <c r="N360">
        <v>6</v>
      </c>
      <c r="O360" t="str">
        <f>VLOOKUP(N360, Lookups!$B$6:$C$12, 2, FALSE)</f>
        <v>Friday</v>
      </c>
      <c r="P360" s="2">
        <v>0.63888888888888884</v>
      </c>
      <c r="Q360">
        <v>-1</v>
      </c>
      <c r="R360" t="s">
        <v>60</v>
      </c>
      <c r="S360" t="s">
        <v>45</v>
      </c>
      <c r="T360" t="s">
        <v>45</v>
      </c>
      <c r="U360">
        <v>4</v>
      </c>
      <c r="V360" t="str">
        <f>VLOOKUP(U360, Lookups!$B$51:$C$57, 2, FALSE)</f>
        <v>B</v>
      </c>
      <c r="W360">
        <v>4639</v>
      </c>
      <c r="X360" t="str">
        <f t="shared" si="48"/>
        <v>B4639</v>
      </c>
      <c r="Y360">
        <v>6</v>
      </c>
      <c r="Z360" t="str">
        <f>VLOOKUP(Y360, Lookups!$B$14:$C$21, 2, FALSE)</f>
        <v>Single carriageway</v>
      </c>
      <c r="AA360">
        <v>40</v>
      </c>
      <c r="AB360">
        <v>-1</v>
      </c>
      <c r="AC360">
        <v>19</v>
      </c>
      <c r="AD360">
        <v>4</v>
      </c>
      <c r="AE360">
        <v>6</v>
      </c>
      <c r="AF360">
        <v>0</v>
      </c>
      <c r="AG360">
        <v>-1</v>
      </c>
      <c r="AH360">
        <v>-1</v>
      </c>
      <c r="AI360">
        <v>0</v>
      </c>
      <c r="AJ360">
        <v>1</v>
      </c>
      <c r="AK360" t="str">
        <f>VLOOKUP(AJ360, Lookups!$B$23:$C$28, 2, FALSE)</f>
        <v>Daylight</v>
      </c>
      <c r="AL360">
        <v>1</v>
      </c>
      <c r="AM360" t="str">
        <f>VLOOKUP(AL360, Lookups!$B$30:$C$39, 2, FALSE)</f>
        <v>Fine / Clear</v>
      </c>
      <c r="AN360">
        <v>1</v>
      </c>
      <c r="AO360" t="str">
        <f>VLOOKUP(AN360, Lookups!$B$41:$C$49, 2, FALSE)</f>
        <v>Dry</v>
      </c>
      <c r="AP360">
        <v>-1</v>
      </c>
      <c r="AQ360">
        <v>-1</v>
      </c>
      <c r="AR360">
        <v>0</v>
      </c>
      <c r="AS360">
        <v>1</v>
      </c>
      <c r="AT360">
        <v>1</v>
      </c>
      <c r="AU360">
        <v>2</v>
      </c>
      <c r="AV360" t="s">
        <v>245</v>
      </c>
      <c r="AW360">
        <v>5</v>
      </c>
      <c r="AX360">
        <v>1</v>
      </c>
      <c r="AY360">
        <v>1</v>
      </c>
      <c r="AZ360">
        <v>0</v>
      </c>
    </row>
    <row r="361" spans="1:52" x14ac:dyDescent="0.35">
      <c r="A361">
        <v>2025221544629</v>
      </c>
      <c r="B361">
        <v>2025</v>
      </c>
      <c r="C361">
        <v>221544629</v>
      </c>
      <c r="D361">
        <v>382392</v>
      </c>
      <c r="E361">
        <v>256414</v>
      </c>
      <c r="F361">
        <v>-2.25908</v>
      </c>
      <c r="G361">
        <v>52.205669999999998</v>
      </c>
      <c r="H361">
        <v>22</v>
      </c>
      <c r="I361">
        <v>3</v>
      </c>
      <c r="J361" t="str">
        <f>VLOOKUP(I361, Lookups!$B$1:$C$4, 2, FALSE)</f>
        <v>Slight</v>
      </c>
      <c r="K361">
        <v>2</v>
      </c>
      <c r="L361">
        <v>1</v>
      </c>
      <c r="M361" s="1">
        <v>45678</v>
      </c>
      <c r="N361">
        <v>3</v>
      </c>
      <c r="O361" t="str">
        <f>VLOOKUP(N361, Lookups!$B$6:$C$12, 2, FALSE)</f>
        <v>Tuesday</v>
      </c>
      <c r="P361" s="2">
        <v>0.80277777777777781</v>
      </c>
      <c r="Q361">
        <v>-1</v>
      </c>
      <c r="R361" t="s">
        <v>49</v>
      </c>
      <c r="S361" t="s">
        <v>45</v>
      </c>
      <c r="T361" t="s">
        <v>45</v>
      </c>
      <c r="U361">
        <v>4</v>
      </c>
      <c r="V361" t="str">
        <f>VLOOKUP(U361, Lookups!$B$51:$C$57, 2, FALSE)</f>
        <v>B</v>
      </c>
      <c r="W361">
        <v>4204</v>
      </c>
      <c r="X361" t="str">
        <f t="shared" si="48"/>
        <v>B4204</v>
      </c>
      <c r="Y361">
        <v>6</v>
      </c>
      <c r="Z361" t="str">
        <f>VLOOKUP(Y361, Lookups!$B$14:$C$21, 2, FALSE)</f>
        <v>Single carriageway</v>
      </c>
      <c r="AA361">
        <v>40</v>
      </c>
      <c r="AB361">
        <v>-1</v>
      </c>
      <c r="AC361">
        <v>0</v>
      </c>
      <c r="AD361">
        <v>-1</v>
      </c>
      <c r="AE361">
        <v>6</v>
      </c>
      <c r="AF361">
        <v>0</v>
      </c>
      <c r="AG361">
        <v>-1</v>
      </c>
      <c r="AH361">
        <v>-1</v>
      </c>
      <c r="AI361">
        <v>0</v>
      </c>
      <c r="AJ361">
        <v>6</v>
      </c>
      <c r="AK361" t="str">
        <f>VLOOKUP(AJ361, Lookups!$B$23:$C$28, 2, FALSE)</f>
        <v>Darkness (Unlit)</v>
      </c>
      <c r="AL361">
        <v>1</v>
      </c>
      <c r="AM361" t="str">
        <f>VLOOKUP(AL361, Lookups!$B$30:$C$39, 2, FALSE)</f>
        <v>Fine / Clear</v>
      </c>
      <c r="AN361">
        <v>1</v>
      </c>
      <c r="AO361" t="str">
        <f>VLOOKUP(AN361, Lookups!$B$41:$C$49, 2, FALSE)</f>
        <v>Dry</v>
      </c>
      <c r="AP361">
        <v>-1</v>
      </c>
      <c r="AQ361">
        <v>-1</v>
      </c>
      <c r="AR361">
        <v>0</v>
      </c>
      <c r="AS361">
        <v>2</v>
      </c>
      <c r="AT361">
        <v>1</v>
      </c>
      <c r="AU361">
        <v>2</v>
      </c>
      <c r="AV361" t="s">
        <v>62</v>
      </c>
      <c r="AW361">
        <v>3</v>
      </c>
      <c r="AX361">
        <v>1</v>
      </c>
      <c r="AY361">
        <v>0</v>
      </c>
      <c r="AZ361">
        <v>1</v>
      </c>
    </row>
    <row r="362" spans="1:52" x14ac:dyDescent="0.35">
      <c r="A362">
        <v>2025221637271</v>
      </c>
      <c r="B362">
        <v>2025</v>
      </c>
      <c r="C362">
        <v>221637271</v>
      </c>
      <c r="D362">
        <v>379481</v>
      </c>
      <c r="E362">
        <v>246374</v>
      </c>
      <c r="F362">
        <v>-2.3010700000000002</v>
      </c>
      <c r="G362">
        <v>52.115299999999998</v>
      </c>
      <c r="H362">
        <v>22</v>
      </c>
      <c r="I362">
        <v>2</v>
      </c>
      <c r="J362" t="str">
        <f>VLOOKUP(I362, Lookups!$B$1:$C$4, 2, FALSE)</f>
        <v>Serious</v>
      </c>
      <c r="K362">
        <v>2</v>
      </c>
      <c r="L362">
        <v>1</v>
      </c>
      <c r="M362" s="1">
        <v>45904</v>
      </c>
      <c r="N362">
        <v>5</v>
      </c>
      <c r="O362" t="str">
        <f>VLOOKUP(N362, Lookups!$B$6:$C$12, 2, FALSE)</f>
        <v>Thursday</v>
      </c>
      <c r="P362" s="2">
        <v>0.40833333333333333</v>
      </c>
      <c r="Q362">
        <v>-1</v>
      </c>
      <c r="R362" t="s">
        <v>49</v>
      </c>
      <c r="S362" t="s">
        <v>45</v>
      </c>
      <c r="T362" t="s">
        <v>45</v>
      </c>
      <c r="U362">
        <v>6</v>
      </c>
      <c r="V362" t="str">
        <f>VLOOKUP(U362, Lookups!$B$51:$C$57, 2, FALSE)</f>
        <v>Unclassified</v>
      </c>
      <c r="W362">
        <v>0</v>
      </c>
      <c r="X362" t="s">
        <v>362</v>
      </c>
      <c r="Y362">
        <v>6</v>
      </c>
      <c r="Z362" t="str">
        <f>VLOOKUP(Y362, Lookups!$B$14:$C$21, 2, FALSE)</f>
        <v>Single carriageway</v>
      </c>
      <c r="AA362">
        <v>30</v>
      </c>
      <c r="AB362">
        <v>-1</v>
      </c>
      <c r="AC362">
        <v>19</v>
      </c>
      <c r="AD362">
        <v>4</v>
      </c>
      <c r="AE362">
        <v>6</v>
      </c>
      <c r="AF362">
        <v>0</v>
      </c>
      <c r="AG362">
        <v>-1</v>
      </c>
      <c r="AH362">
        <v>-1</v>
      </c>
      <c r="AI362">
        <v>0</v>
      </c>
      <c r="AJ362">
        <v>1</v>
      </c>
      <c r="AK362" t="str">
        <f>VLOOKUP(AJ362, Lookups!$B$23:$C$28, 2, FALSE)</f>
        <v>Daylight</v>
      </c>
      <c r="AL362">
        <v>2</v>
      </c>
      <c r="AM362" t="str">
        <f>VLOOKUP(AL362, Lookups!$B$30:$C$39, 2, FALSE)</f>
        <v>Rain</v>
      </c>
      <c r="AN362">
        <v>2</v>
      </c>
      <c r="AO362" t="str">
        <f>VLOOKUP(AN362, Lookups!$B$41:$C$49, 2, FALSE)</f>
        <v>Wet / damp</v>
      </c>
      <c r="AP362">
        <v>-1</v>
      </c>
      <c r="AQ362">
        <v>-1</v>
      </c>
      <c r="AR362">
        <v>0</v>
      </c>
      <c r="AS362">
        <v>2</v>
      </c>
      <c r="AT362">
        <v>1</v>
      </c>
      <c r="AU362">
        <v>2</v>
      </c>
      <c r="AV362" t="s">
        <v>246</v>
      </c>
      <c r="AW362">
        <v>7</v>
      </c>
      <c r="AX362">
        <v>1</v>
      </c>
      <c r="AY362">
        <v>1</v>
      </c>
      <c r="AZ362">
        <v>0</v>
      </c>
    </row>
    <row r="363" spans="1:52" x14ac:dyDescent="0.35">
      <c r="A363">
        <v>2025221591613</v>
      </c>
      <c r="B363">
        <v>2025</v>
      </c>
      <c r="C363">
        <v>221591613</v>
      </c>
      <c r="D363">
        <v>407813</v>
      </c>
      <c r="E363">
        <v>275093</v>
      </c>
      <c r="F363">
        <v>-1.88666</v>
      </c>
      <c r="G363">
        <v>52.373829999999998</v>
      </c>
      <c r="H363">
        <v>22</v>
      </c>
      <c r="I363">
        <v>2</v>
      </c>
      <c r="J363" t="str">
        <f>VLOOKUP(I363, Lookups!$B$1:$C$4, 2, FALSE)</f>
        <v>Serious</v>
      </c>
      <c r="K363">
        <v>2</v>
      </c>
      <c r="L363">
        <v>1</v>
      </c>
      <c r="M363" s="1">
        <v>45795</v>
      </c>
      <c r="N363">
        <v>1</v>
      </c>
      <c r="O363" t="str">
        <f>VLOOKUP(N363, Lookups!$B$6:$C$12, 2, FALSE)</f>
        <v>Sunday</v>
      </c>
      <c r="P363" s="2">
        <v>0.5</v>
      </c>
      <c r="Q363">
        <v>-1</v>
      </c>
      <c r="R363" t="s">
        <v>47</v>
      </c>
      <c r="S363" t="s">
        <v>45</v>
      </c>
      <c r="T363" t="s">
        <v>45</v>
      </c>
      <c r="U363">
        <v>3</v>
      </c>
      <c r="V363" t="str">
        <f>VLOOKUP(U363, Lookups!$B$51:$C$57, 2, FALSE)</f>
        <v>A</v>
      </c>
      <c r="W363">
        <v>435</v>
      </c>
      <c r="X363" t="str">
        <f>V363&amp;W363</f>
        <v>A435</v>
      </c>
      <c r="Y363">
        <v>1</v>
      </c>
      <c r="Z363" t="str">
        <f>VLOOKUP(Y363, Lookups!$B$14:$C$21, 2, FALSE)</f>
        <v>Roundabout</v>
      </c>
      <c r="AA363">
        <v>70</v>
      </c>
      <c r="AB363">
        <v>-1</v>
      </c>
      <c r="AC363">
        <v>-1</v>
      </c>
      <c r="AD363">
        <v>4</v>
      </c>
      <c r="AE363">
        <v>6</v>
      </c>
      <c r="AF363">
        <v>0</v>
      </c>
      <c r="AG363">
        <v>-1</v>
      </c>
      <c r="AH363">
        <v>-1</v>
      </c>
      <c r="AI363">
        <v>0</v>
      </c>
      <c r="AJ363">
        <v>1</v>
      </c>
      <c r="AK363" t="str">
        <f>VLOOKUP(AJ363, Lookups!$B$23:$C$28, 2, FALSE)</f>
        <v>Daylight</v>
      </c>
      <c r="AL363">
        <v>1</v>
      </c>
      <c r="AM363" t="str">
        <f>VLOOKUP(AL363, Lookups!$B$30:$C$39, 2, FALSE)</f>
        <v>Fine / Clear</v>
      </c>
      <c r="AN363">
        <v>1</v>
      </c>
      <c r="AO363" t="str">
        <f>VLOOKUP(AN363, Lookups!$B$41:$C$49, 2, FALSE)</f>
        <v>Dry</v>
      </c>
      <c r="AP363">
        <v>-1</v>
      </c>
      <c r="AQ363">
        <v>-1</v>
      </c>
      <c r="AR363">
        <v>0</v>
      </c>
      <c r="AS363">
        <v>1</v>
      </c>
      <c r="AT363">
        <v>1</v>
      </c>
      <c r="AU363">
        <v>2</v>
      </c>
      <c r="AV363" t="s">
        <v>247</v>
      </c>
      <c r="AW363">
        <v>5</v>
      </c>
      <c r="AX363">
        <v>1</v>
      </c>
      <c r="AY363">
        <v>1</v>
      </c>
      <c r="AZ363">
        <v>0</v>
      </c>
    </row>
    <row r="364" spans="1:52" x14ac:dyDescent="0.35">
      <c r="A364">
        <v>2025221649256</v>
      </c>
      <c r="B364">
        <v>2025</v>
      </c>
      <c r="C364">
        <v>221649256</v>
      </c>
      <c r="D364">
        <v>407897</v>
      </c>
      <c r="E364">
        <v>275124</v>
      </c>
      <c r="F364">
        <v>-1.8854299999999999</v>
      </c>
      <c r="G364">
        <v>52.374099999999999</v>
      </c>
      <c r="H364">
        <v>22</v>
      </c>
      <c r="I364">
        <v>2</v>
      </c>
      <c r="J364" t="str">
        <f>VLOOKUP(I364, Lookups!$B$1:$C$4, 2, FALSE)</f>
        <v>Serious</v>
      </c>
      <c r="K364">
        <v>2</v>
      </c>
      <c r="L364">
        <v>1</v>
      </c>
      <c r="M364" s="1">
        <v>45923</v>
      </c>
      <c r="N364">
        <v>3</v>
      </c>
      <c r="O364" t="str">
        <f>VLOOKUP(N364, Lookups!$B$6:$C$12, 2, FALSE)</f>
        <v>Tuesday</v>
      </c>
      <c r="P364" s="2">
        <v>0.71319444444444446</v>
      </c>
      <c r="Q364">
        <v>-1</v>
      </c>
      <c r="R364" t="s">
        <v>47</v>
      </c>
      <c r="S364" t="s">
        <v>45</v>
      </c>
      <c r="T364" t="s">
        <v>45</v>
      </c>
      <c r="U364">
        <v>6</v>
      </c>
      <c r="V364" t="str">
        <f>VLOOKUP(U364, Lookups!$B$51:$C$57, 2, FALSE)</f>
        <v>Unclassified</v>
      </c>
      <c r="W364">
        <v>0</v>
      </c>
      <c r="X364" t="s">
        <v>362</v>
      </c>
      <c r="Y364">
        <v>6</v>
      </c>
      <c r="Z364" t="str">
        <f>VLOOKUP(Y364, Lookups!$B$14:$C$21, 2, FALSE)</f>
        <v>Single carriageway</v>
      </c>
      <c r="AA364">
        <v>30</v>
      </c>
      <c r="AB364">
        <v>-1</v>
      </c>
      <c r="AC364">
        <v>-1</v>
      </c>
      <c r="AD364">
        <v>4</v>
      </c>
      <c r="AE364">
        <v>3</v>
      </c>
      <c r="AF364">
        <v>435</v>
      </c>
      <c r="AG364">
        <v>-1</v>
      </c>
      <c r="AH364">
        <v>-1</v>
      </c>
      <c r="AI364">
        <v>0</v>
      </c>
      <c r="AJ364">
        <v>1</v>
      </c>
      <c r="AK364" t="str">
        <f>VLOOKUP(AJ364, Lookups!$B$23:$C$28, 2, FALSE)</f>
        <v>Daylight</v>
      </c>
      <c r="AL364">
        <v>1</v>
      </c>
      <c r="AM364" t="str">
        <f>VLOOKUP(AL364, Lookups!$B$30:$C$39, 2, FALSE)</f>
        <v>Fine / Clear</v>
      </c>
      <c r="AN364">
        <v>1</v>
      </c>
      <c r="AO364" t="str">
        <f>VLOOKUP(AN364, Lookups!$B$41:$C$49, 2, FALSE)</f>
        <v>Dry</v>
      </c>
      <c r="AP364">
        <v>-1</v>
      </c>
      <c r="AQ364">
        <v>-1</v>
      </c>
      <c r="AR364">
        <v>0</v>
      </c>
      <c r="AS364">
        <v>2</v>
      </c>
      <c r="AT364">
        <v>1</v>
      </c>
      <c r="AU364">
        <v>2</v>
      </c>
      <c r="AV364" t="s">
        <v>247</v>
      </c>
      <c r="AW364">
        <v>7</v>
      </c>
      <c r="AX364">
        <v>1</v>
      </c>
      <c r="AY364">
        <v>1</v>
      </c>
      <c r="AZ364">
        <v>0</v>
      </c>
    </row>
    <row r="365" spans="1:52" x14ac:dyDescent="0.35">
      <c r="A365">
        <v>2025221597927</v>
      </c>
      <c r="B365">
        <v>2025</v>
      </c>
      <c r="C365">
        <v>221597927</v>
      </c>
      <c r="D365">
        <v>401345</v>
      </c>
      <c r="E365">
        <v>273098</v>
      </c>
      <c r="F365">
        <v>-1.9816800000000001</v>
      </c>
      <c r="G365">
        <v>52.355939999999997</v>
      </c>
      <c r="H365">
        <v>22</v>
      </c>
      <c r="I365">
        <v>3</v>
      </c>
      <c r="J365" t="str">
        <f>VLOOKUP(I365, Lookups!$B$1:$C$4, 2, FALSE)</f>
        <v>Slight</v>
      </c>
      <c r="K365">
        <v>2</v>
      </c>
      <c r="L365">
        <v>1</v>
      </c>
      <c r="M365" s="1">
        <v>45811</v>
      </c>
      <c r="N365">
        <v>3</v>
      </c>
      <c r="O365" t="str">
        <f>VLOOKUP(N365, Lookups!$B$6:$C$12, 2, FALSE)</f>
        <v>Tuesday</v>
      </c>
      <c r="P365" s="2">
        <v>0.36805555555555558</v>
      </c>
      <c r="Q365">
        <v>-1</v>
      </c>
      <c r="R365" t="s">
        <v>47</v>
      </c>
      <c r="S365" t="s">
        <v>45</v>
      </c>
      <c r="T365" t="s">
        <v>45</v>
      </c>
      <c r="U365">
        <v>1</v>
      </c>
      <c r="V365" t="str">
        <f>VLOOKUP(U365, Lookups!$B$51:$C$57, 2, FALSE)</f>
        <v>M</v>
      </c>
      <c r="W365">
        <v>42</v>
      </c>
      <c r="X365" t="str">
        <f>V365&amp;W365</f>
        <v>M42</v>
      </c>
      <c r="Y365">
        <v>3</v>
      </c>
      <c r="Z365" t="str">
        <f>VLOOKUP(Y365, Lookups!$B$14:$C$21, 2, FALSE)</f>
        <v>Dual carriageway</v>
      </c>
      <c r="AA365">
        <v>70</v>
      </c>
      <c r="AB365">
        <v>-1</v>
      </c>
      <c r="AC365">
        <v>0</v>
      </c>
      <c r="AD365">
        <v>-1</v>
      </c>
      <c r="AE365">
        <v>0</v>
      </c>
      <c r="AF365">
        <v>-1</v>
      </c>
      <c r="AG365">
        <v>-1</v>
      </c>
      <c r="AH365">
        <v>-1</v>
      </c>
      <c r="AI365">
        <v>0</v>
      </c>
      <c r="AJ365">
        <v>1</v>
      </c>
      <c r="AK365" t="str">
        <f>VLOOKUP(AJ365, Lookups!$B$23:$C$28, 2, FALSE)</f>
        <v>Daylight</v>
      </c>
      <c r="AL365">
        <v>2</v>
      </c>
      <c r="AM365" t="str">
        <f>VLOOKUP(AL365, Lookups!$B$30:$C$39, 2, FALSE)</f>
        <v>Rain</v>
      </c>
      <c r="AN365">
        <v>2</v>
      </c>
      <c r="AO365" t="str">
        <f>VLOOKUP(AN365, Lookups!$B$41:$C$49, 2, FALSE)</f>
        <v>Wet / damp</v>
      </c>
      <c r="AP365">
        <v>-1</v>
      </c>
      <c r="AQ365">
        <v>-1</v>
      </c>
      <c r="AR365">
        <v>0</v>
      </c>
      <c r="AS365">
        <v>2</v>
      </c>
      <c r="AT365">
        <v>3</v>
      </c>
      <c r="AU365">
        <v>1</v>
      </c>
      <c r="AV365" t="s">
        <v>184</v>
      </c>
      <c r="AW365">
        <v>3</v>
      </c>
      <c r="AX365">
        <v>1</v>
      </c>
      <c r="AY365">
        <v>0</v>
      </c>
      <c r="AZ365">
        <v>1</v>
      </c>
    </row>
    <row r="366" spans="1:52" x14ac:dyDescent="0.35">
      <c r="A366">
        <v>2025221619517</v>
      </c>
      <c r="B366">
        <v>2025</v>
      </c>
      <c r="C366">
        <v>221619517</v>
      </c>
      <c r="D366">
        <v>384811</v>
      </c>
      <c r="E366">
        <v>276417</v>
      </c>
      <c r="F366">
        <v>-2.2245900000000001</v>
      </c>
      <c r="G366">
        <v>52.385570000000001</v>
      </c>
      <c r="H366">
        <v>22</v>
      </c>
      <c r="I366">
        <v>2</v>
      </c>
      <c r="J366" t="str">
        <f>VLOOKUP(I366, Lookups!$B$1:$C$4, 2, FALSE)</f>
        <v>Serious</v>
      </c>
      <c r="K366">
        <v>2</v>
      </c>
      <c r="L366">
        <v>1</v>
      </c>
      <c r="M366" s="1">
        <v>45859</v>
      </c>
      <c r="N366">
        <v>2</v>
      </c>
      <c r="O366" t="str">
        <f>VLOOKUP(N366, Lookups!$B$6:$C$12, 2, FALSE)</f>
        <v>Monday</v>
      </c>
      <c r="P366" s="2">
        <v>0.5</v>
      </c>
      <c r="Q366">
        <v>-1</v>
      </c>
      <c r="R366" t="s">
        <v>44</v>
      </c>
      <c r="S366" t="s">
        <v>45</v>
      </c>
      <c r="T366" t="s">
        <v>45</v>
      </c>
      <c r="U366">
        <v>6</v>
      </c>
      <c r="V366" t="str">
        <f>VLOOKUP(U366, Lookups!$B$51:$C$57, 2, FALSE)</f>
        <v>Unclassified</v>
      </c>
      <c r="W366">
        <v>0</v>
      </c>
      <c r="X366" t="s">
        <v>362</v>
      </c>
      <c r="Y366">
        <v>6</v>
      </c>
      <c r="Z366" t="str">
        <f>VLOOKUP(Y366, Lookups!$B$14:$C$21, 2, FALSE)</f>
        <v>Single carriageway</v>
      </c>
      <c r="AA366">
        <v>30</v>
      </c>
      <c r="AB366">
        <v>-1</v>
      </c>
      <c r="AC366">
        <v>0</v>
      </c>
      <c r="AD366">
        <v>-1</v>
      </c>
      <c r="AE366">
        <v>0</v>
      </c>
      <c r="AF366">
        <v>-1</v>
      </c>
      <c r="AG366">
        <v>-1</v>
      </c>
      <c r="AH366">
        <v>-1</v>
      </c>
      <c r="AI366">
        <v>0</v>
      </c>
      <c r="AJ366">
        <v>1</v>
      </c>
      <c r="AK366" t="str">
        <f>VLOOKUP(AJ366, Lookups!$B$23:$C$28, 2, FALSE)</f>
        <v>Daylight</v>
      </c>
      <c r="AL366">
        <v>1</v>
      </c>
      <c r="AM366" t="str">
        <f>VLOOKUP(AL366, Lookups!$B$30:$C$39, 2, FALSE)</f>
        <v>Fine / Clear</v>
      </c>
      <c r="AN366">
        <v>1</v>
      </c>
      <c r="AO366" t="str">
        <f>VLOOKUP(AN366, Lookups!$B$41:$C$49, 2, FALSE)</f>
        <v>Dry</v>
      </c>
      <c r="AP366">
        <v>-1</v>
      </c>
      <c r="AQ366">
        <v>-1</v>
      </c>
      <c r="AR366">
        <v>0</v>
      </c>
      <c r="AS366">
        <v>1</v>
      </c>
      <c r="AT366">
        <v>3</v>
      </c>
      <c r="AU366">
        <v>2</v>
      </c>
      <c r="AV366" t="s">
        <v>248</v>
      </c>
      <c r="AW366">
        <v>7</v>
      </c>
      <c r="AX366">
        <v>1</v>
      </c>
      <c r="AY366">
        <v>1</v>
      </c>
      <c r="AZ366">
        <v>0</v>
      </c>
    </row>
    <row r="367" spans="1:52" x14ac:dyDescent="0.35">
      <c r="A367">
        <v>2025221670790</v>
      </c>
      <c r="B367">
        <v>2025</v>
      </c>
      <c r="C367">
        <v>221670790</v>
      </c>
      <c r="D367">
        <v>389071</v>
      </c>
      <c r="E367">
        <v>257270</v>
      </c>
      <c r="F367">
        <v>-2.1613699999999998</v>
      </c>
      <c r="G367">
        <v>52.213540000000002</v>
      </c>
      <c r="H367">
        <v>22</v>
      </c>
      <c r="I367">
        <v>3</v>
      </c>
      <c r="J367" t="str">
        <f>VLOOKUP(I367, Lookups!$B$1:$C$4, 2, FALSE)</f>
        <v>Slight</v>
      </c>
      <c r="K367">
        <v>2</v>
      </c>
      <c r="L367">
        <v>1</v>
      </c>
      <c r="M367" s="1">
        <v>45978</v>
      </c>
      <c r="N367">
        <v>2</v>
      </c>
      <c r="O367" t="str">
        <f>VLOOKUP(N367, Lookups!$B$6:$C$12, 2, FALSE)</f>
        <v>Monday</v>
      </c>
      <c r="P367" s="2">
        <v>0.35416666666666669</v>
      </c>
      <c r="Q367">
        <v>-1</v>
      </c>
      <c r="R367" t="s">
        <v>60</v>
      </c>
      <c r="S367" t="s">
        <v>45</v>
      </c>
      <c r="T367" t="s">
        <v>45</v>
      </c>
      <c r="U367">
        <v>3</v>
      </c>
      <c r="V367" t="str">
        <f>VLOOKUP(U367, Lookups!$B$51:$C$57, 2, FALSE)</f>
        <v>A</v>
      </c>
      <c r="W367">
        <v>449</v>
      </c>
      <c r="X367" t="str">
        <f t="shared" ref="X367:X373" si="49">V367&amp;W367</f>
        <v>A449</v>
      </c>
      <c r="Y367">
        <v>3</v>
      </c>
      <c r="Z367" t="str">
        <f>VLOOKUP(Y367, Lookups!$B$14:$C$21, 2, FALSE)</f>
        <v>Dual carriageway</v>
      </c>
      <c r="AA367">
        <v>70</v>
      </c>
      <c r="AB367">
        <v>-1</v>
      </c>
      <c r="AC367">
        <v>0</v>
      </c>
      <c r="AD367">
        <v>-1</v>
      </c>
      <c r="AE367">
        <v>3</v>
      </c>
      <c r="AF367">
        <v>4538</v>
      </c>
      <c r="AG367">
        <v>-1</v>
      </c>
      <c r="AH367">
        <v>-1</v>
      </c>
      <c r="AI367">
        <v>0</v>
      </c>
      <c r="AJ367">
        <v>1</v>
      </c>
      <c r="AK367" t="str">
        <f>VLOOKUP(AJ367, Lookups!$B$23:$C$28, 2, FALSE)</f>
        <v>Daylight</v>
      </c>
      <c r="AL367">
        <v>1</v>
      </c>
      <c r="AM367" t="str">
        <f>VLOOKUP(AL367, Lookups!$B$30:$C$39, 2, FALSE)</f>
        <v>Fine / Clear</v>
      </c>
      <c r="AN367">
        <v>2</v>
      </c>
      <c r="AO367" t="str">
        <f>VLOOKUP(AN367, Lookups!$B$41:$C$49, 2, FALSE)</f>
        <v>Wet / damp</v>
      </c>
      <c r="AP367">
        <v>-1</v>
      </c>
      <c r="AQ367">
        <v>-1</v>
      </c>
      <c r="AR367">
        <v>0</v>
      </c>
      <c r="AS367">
        <v>1</v>
      </c>
      <c r="AT367">
        <v>3</v>
      </c>
      <c r="AU367">
        <v>2</v>
      </c>
      <c r="AV367" t="s">
        <v>249</v>
      </c>
      <c r="AW367">
        <v>3</v>
      </c>
      <c r="AX367">
        <v>1</v>
      </c>
      <c r="AY367">
        <v>0</v>
      </c>
      <c r="AZ367">
        <v>1</v>
      </c>
    </row>
    <row r="368" spans="1:52" x14ac:dyDescent="0.35">
      <c r="A368">
        <v>2025221561297</v>
      </c>
      <c r="B368">
        <v>2025</v>
      </c>
      <c r="C368">
        <v>221561297</v>
      </c>
      <c r="D368">
        <v>385486</v>
      </c>
      <c r="E368">
        <v>253133</v>
      </c>
      <c r="F368">
        <v>-2.21366</v>
      </c>
      <c r="G368">
        <v>52.176259999999999</v>
      </c>
      <c r="H368">
        <v>22</v>
      </c>
      <c r="I368">
        <v>3</v>
      </c>
      <c r="J368" t="str">
        <f>VLOOKUP(I368, Lookups!$B$1:$C$4, 2, FALSE)</f>
        <v>Slight</v>
      </c>
      <c r="K368">
        <v>1</v>
      </c>
      <c r="L368">
        <v>1</v>
      </c>
      <c r="M368" s="1">
        <v>45721</v>
      </c>
      <c r="N368">
        <v>4</v>
      </c>
      <c r="O368" t="str">
        <f>VLOOKUP(N368, Lookups!$B$6:$C$12, 2, FALSE)</f>
        <v>Wednesday</v>
      </c>
      <c r="P368" s="2">
        <v>0.36875000000000002</v>
      </c>
      <c r="Q368">
        <v>-1</v>
      </c>
      <c r="R368" t="s">
        <v>60</v>
      </c>
      <c r="S368" t="s">
        <v>45</v>
      </c>
      <c r="T368" t="s">
        <v>45</v>
      </c>
      <c r="U368">
        <v>3</v>
      </c>
      <c r="V368" t="str">
        <f>VLOOKUP(U368, Lookups!$B$51:$C$57, 2, FALSE)</f>
        <v>A</v>
      </c>
      <c r="W368">
        <v>38</v>
      </c>
      <c r="X368" t="str">
        <f t="shared" si="49"/>
        <v>A38</v>
      </c>
      <c r="Y368">
        <v>6</v>
      </c>
      <c r="Z368" t="str">
        <f>VLOOKUP(Y368, Lookups!$B$14:$C$21, 2, FALSE)</f>
        <v>Single carriageway</v>
      </c>
      <c r="AA368">
        <v>30</v>
      </c>
      <c r="AB368">
        <v>-1</v>
      </c>
      <c r="AC368">
        <v>0</v>
      </c>
      <c r="AD368">
        <v>-1</v>
      </c>
      <c r="AE368">
        <v>0</v>
      </c>
      <c r="AF368">
        <v>-1</v>
      </c>
      <c r="AG368">
        <v>-1</v>
      </c>
      <c r="AH368">
        <v>-1</v>
      </c>
      <c r="AI368">
        <v>14</v>
      </c>
      <c r="AJ368">
        <v>1</v>
      </c>
      <c r="AK368" t="str">
        <f>VLOOKUP(AJ368, Lookups!$B$23:$C$28, 2, FALSE)</f>
        <v>Daylight</v>
      </c>
      <c r="AL368">
        <v>1</v>
      </c>
      <c r="AM368" t="str">
        <f>VLOOKUP(AL368, Lookups!$B$30:$C$39, 2, FALSE)</f>
        <v>Fine / Clear</v>
      </c>
      <c r="AN368">
        <v>1</v>
      </c>
      <c r="AO368" t="str">
        <f>VLOOKUP(AN368, Lookups!$B$41:$C$49, 2, FALSE)</f>
        <v>Dry</v>
      </c>
      <c r="AP368">
        <v>-1</v>
      </c>
      <c r="AQ368">
        <v>-1</v>
      </c>
      <c r="AR368">
        <v>0</v>
      </c>
      <c r="AS368">
        <v>1</v>
      </c>
      <c r="AT368">
        <v>1</v>
      </c>
      <c r="AU368">
        <v>2</v>
      </c>
      <c r="AV368" t="s">
        <v>250</v>
      </c>
      <c r="AW368">
        <v>3</v>
      </c>
      <c r="AX368">
        <v>1</v>
      </c>
      <c r="AY368">
        <v>0</v>
      </c>
      <c r="AZ368">
        <v>1</v>
      </c>
    </row>
    <row r="369" spans="1:52" x14ac:dyDescent="0.35">
      <c r="A369">
        <v>2025221583848</v>
      </c>
      <c r="B369">
        <v>2025</v>
      </c>
      <c r="C369">
        <v>221583848</v>
      </c>
      <c r="D369">
        <v>389955</v>
      </c>
      <c r="E369">
        <v>272737</v>
      </c>
      <c r="F369">
        <v>-2.1488999999999998</v>
      </c>
      <c r="G369">
        <v>52.352600000000002</v>
      </c>
      <c r="H369">
        <v>22</v>
      </c>
      <c r="I369">
        <v>2</v>
      </c>
      <c r="J369" t="str">
        <f>VLOOKUP(I369, Lookups!$B$1:$C$4, 2, FALSE)</f>
        <v>Serious</v>
      </c>
      <c r="K369">
        <v>3</v>
      </c>
      <c r="L369">
        <v>3</v>
      </c>
      <c r="M369" s="1">
        <v>45777</v>
      </c>
      <c r="N369">
        <v>4</v>
      </c>
      <c r="O369" t="str">
        <f>VLOOKUP(N369, Lookups!$B$6:$C$12, 2, FALSE)</f>
        <v>Wednesday</v>
      </c>
      <c r="P369" s="2">
        <v>0.33333333333333331</v>
      </c>
      <c r="Q369">
        <v>-1</v>
      </c>
      <c r="R369" t="s">
        <v>44</v>
      </c>
      <c r="S369" t="s">
        <v>45</v>
      </c>
      <c r="T369" t="s">
        <v>45</v>
      </c>
      <c r="U369">
        <v>3</v>
      </c>
      <c r="V369" t="str">
        <f>VLOOKUP(U369, Lookups!$B$51:$C$57, 2, FALSE)</f>
        <v>A</v>
      </c>
      <c r="W369">
        <v>448</v>
      </c>
      <c r="X369" t="str">
        <f t="shared" si="49"/>
        <v>A448</v>
      </c>
      <c r="Y369">
        <v>6</v>
      </c>
      <c r="Z369" t="str">
        <f>VLOOKUP(Y369, Lookups!$B$14:$C$21, 2, FALSE)</f>
        <v>Single carriageway</v>
      </c>
      <c r="AA369">
        <v>50</v>
      </c>
      <c r="AB369">
        <v>-1</v>
      </c>
      <c r="AC369">
        <v>13</v>
      </c>
      <c r="AD369">
        <v>4</v>
      </c>
      <c r="AE369">
        <v>6</v>
      </c>
      <c r="AF369">
        <v>0</v>
      </c>
      <c r="AG369">
        <v>-1</v>
      </c>
      <c r="AH369">
        <v>-1</v>
      </c>
      <c r="AI369">
        <v>0</v>
      </c>
      <c r="AJ369">
        <v>1</v>
      </c>
      <c r="AK369" t="str">
        <f>VLOOKUP(AJ369, Lookups!$B$23:$C$28, 2, FALSE)</f>
        <v>Daylight</v>
      </c>
      <c r="AL369">
        <v>1</v>
      </c>
      <c r="AM369" t="str">
        <f>VLOOKUP(AL369, Lookups!$B$30:$C$39, 2, FALSE)</f>
        <v>Fine / Clear</v>
      </c>
      <c r="AN369">
        <v>1</v>
      </c>
      <c r="AO369" t="str">
        <f>VLOOKUP(AN369, Lookups!$B$41:$C$49, 2, FALSE)</f>
        <v>Dry</v>
      </c>
      <c r="AP369">
        <v>-1</v>
      </c>
      <c r="AQ369">
        <v>-1</v>
      </c>
      <c r="AR369">
        <v>0</v>
      </c>
      <c r="AS369">
        <v>2</v>
      </c>
      <c r="AT369">
        <v>1</v>
      </c>
      <c r="AU369">
        <v>2</v>
      </c>
      <c r="AV369" t="s">
        <v>229</v>
      </c>
      <c r="AW369">
        <v>6</v>
      </c>
      <c r="AX369">
        <v>1</v>
      </c>
      <c r="AY369">
        <v>1</v>
      </c>
      <c r="AZ369">
        <v>0</v>
      </c>
    </row>
    <row r="370" spans="1:52" x14ac:dyDescent="0.35">
      <c r="A370">
        <v>2025221567018</v>
      </c>
      <c r="B370">
        <v>2025</v>
      </c>
      <c r="C370">
        <v>221567018</v>
      </c>
      <c r="D370">
        <v>379933</v>
      </c>
      <c r="E370">
        <v>275852</v>
      </c>
      <c r="F370">
        <v>-2.29623</v>
      </c>
      <c r="G370">
        <v>52.380330000000001</v>
      </c>
      <c r="H370">
        <v>22</v>
      </c>
      <c r="I370">
        <v>3</v>
      </c>
      <c r="J370" t="str">
        <f>VLOOKUP(I370, Lookups!$B$1:$C$4, 2, FALSE)</f>
        <v>Slight</v>
      </c>
      <c r="K370">
        <v>3</v>
      </c>
      <c r="L370">
        <v>1</v>
      </c>
      <c r="M370" s="1">
        <v>45715</v>
      </c>
      <c r="N370">
        <v>5</v>
      </c>
      <c r="O370" t="str">
        <f>VLOOKUP(N370, Lookups!$B$6:$C$12, 2, FALSE)</f>
        <v>Thursday</v>
      </c>
      <c r="P370" s="2">
        <v>0.71180555555555558</v>
      </c>
      <c r="Q370">
        <v>-1</v>
      </c>
      <c r="R370" t="s">
        <v>44</v>
      </c>
      <c r="S370" t="s">
        <v>45</v>
      </c>
      <c r="T370" t="s">
        <v>45</v>
      </c>
      <c r="U370">
        <v>3</v>
      </c>
      <c r="V370" t="str">
        <f>VLOOKUP(U370, Lookups!$B$51:$C$57, 2, FALSE)</f>
        <v>A</v>
      </c>
      <c r="W370">
        <v>456</v>
      </c>
      <c r="X370" t="str">
        <f t="shared" si="49"/>
        <v>A456</v>
      </c>
      <c r="Y370">
        <v>6</v>
      </c>
      <c r="Z370" t="str">
        <f>VLOOKUP(Y370, Lookups!$B$14:$C$21, 2, FALSE)</f>
        <v>Single carriageway</v>
      </c>
      <c r="AA370">
        <v>60</v>
      </c>
      <c r="AB370">
        <v>-1</v>
      </c>
      <c r="AC370">
        <v>0</v>
      </c>
      <c r="AD370">
        <v>-1</v>
      </c>
      <c r="AE370">
        <v>3</v>
      </c>
      <c r="AF370">
        <v>456</v>
      </c>
      <c r="AG370">
        <v>-1</v>
      </c>
      <c r="AH370">
        <v>-1</v>
      </c>
      <c r="AI370">
        <v>0</v>
      </c>
      <c r="AJ370">
        <v>1</v>
      </c>
      <c r="AK370" t="str">
        <f>VLOOKUP(AJ370, Lookups!$B$23:$C$28, 2, FALSE)</f>
        <v>Daylight</v>
      </c>
      <c r="AL370">
        <v>1</v>
      </c>
      <c r="AM370" t="str">
        <f>VLOOKUP(AL370, Lookups!$B$30:$C$39, 2, FALSE)</f>
        <v>Fine / Clear</v>
      </c>
      <c r="AN370">
        <v>1</v>
      </c>
      <c r="AO370" t="str">
        <f>VLOOKUP(AN370, Lookups!$B$41:$C$49, 2, FALSE)</f>
        <v>Dry</v>
      </c>
      <c r="AP370">
        <v>-1</v>
      </c>
      <c r="AQ370">
        <v>-1</v>
      </c>
      <c r="AR370">
        <v>0</v>
      </c>
      <c r="AS370">
        <v>2</v>
      </c>
      <c r="AT370">
        <v>1</v>
      </c>
      <c r="AU370">
        <v>2</v>
      </c>
      <c r="AV370" t="s">
        <v>91</v>
      </c>
      <c r="AW370">
        <v>3</v>
      </c>
      <c r="AX370">
        <v>1</v>
      </c>
      <c r="AY370">
        <v>0</v>
      </c>
      <c r="AZ370">
        <v>1</v>
      </c>
    </row>
    <row r="371" spans="1:52" x14ac:dyDescent="0.35">
      <c r="A371">
        <v>2025221616043</v>
      </c>
      <c r="B371">
        <v>2025</v>
      </c>
      <c r="C371">
        <v>221616043</v>
      </c>
      <c r="D371">
        <v>405530</v>
      </c>
      <c r="E371">
        <v>272985</v>
      </c>
      <c r="F371">
        <v>-1.9202300000000001</v>
      </c>
      <c r="G371">
        <v>52.354900000000001</v>
      </c>
      <c r="H371">
        <v>22</v>
      </c>
      <c r="I371">
        <v>3</v>
      </c>
      <c r="J371" t="str">
        <f>VLOOKUP(I371, Lookups!$B$1:$C$4, 2, FALSE)</f>
        <v>Slight</v>
      </c>
      <c r="K371">
        <v>2</v>
      </c>
      <c r="L371">
        <v>1</v>
      </c>
      <c r="M371" s="1">
        <v>45852</v>
      </c>
      <c r="N371">
        <v>2</v>
      </c>
      <c r="O371" t="str">
        <f>VLOOKUP(N371, Lookups!$B$6:$C$12, 2, FALSE)</f>
        <v>Monday</v>
      </c>
      <c r="P371" s="2">
        <v>0.33680555555555558</v>
      </c>
      <c r="Q371">
        <v>-1</v>
      </c>
      <c r="R371" t="s">
        <v>47</v>
      </c>
      <c r="S371" t="s">
        <v>45</v>
      </c>
      <c r="T371" t="s">
        <v>45</v>
      </c>
      <c r="U371">
        <v>1</v>
      </c>
      <c r="V371" t="str">
        <f>VLOOKUP(U371, Lookups!$B$51:$C$57, 2, FALSE)</f>
        <v>M</v>
      </c>
      <c r="W371">
        <v>42</v>
      </c>
      <c r="X371" t="str">
        <f t="shared" si="49"/>
        <v>M42</v>
      </c>
      <c r="Y371">
        <v>3</v>
      </c>
      <c r="Z371" t="str">
        <f>VLOOKUP(Y371, Lookups!$B$14:$C$21, 2, FALSE)</f>
        <v>Dual carriageway</v>
      </c>
      <c r="AA371">
        <v>70</v>
      </c>
      <c r="AB371">
        <v>-1</v>
      </c>
      <c r="AC371">
        <v>0</v>
      </c>
      <c r="AD371">
        <v>-1</v>
      </c>
      <c r="AE371">
        <v>0</v>
      </c>
      <c r="AF371">
        <v>-1</v>
      </c>
      <c r="AG371">
        <v>-1</v>
      </c>
      <c r="AH371">
        <v>-1</v>
      </c>
      <c r="AI371">
        <v>0</v>
      </c>
      <c r="AJ371">
        <v>1</v>
      </c>
      <c r="AK371" t="str">
        <f>VLOOKUP(AJ371, Lookups!$B$23:$C$28, 2, FALSE)</f>
        <v>Daylight</v>
      </c>
      <c r="AL371">
        <v>1</v>
      </c>
      <c r="AM371" t="str">
        <f>VLOOKUP(AL371, Lookups!$B$30:$C$39, 2, FALSE)</f>
        <v>Fine / Clear</v>
      </c>
      <c r="AN371">
        <v>1</v>
      </c>
      <c r="AO371" t="str">
        <f>VLOOKUP(AN371, Lookups!$B$41:$C$49, 2, FALSE)</f>
        <v>Dry</v>
      </c>
      <c r="AP371">
        <v>-1</v>
      </c>
      <c r="AQ371">
        <v>-1</v>
      </c>
      <c r="AR371">
        <v>0</v>
      </c>
      <c r="AS371">
        <v>2</v>
      </c>
      <c r="AT371">
        <v>3</v>
      </c>
      <c r="AU371">
        <v>1</v>
      </c>
      <c r="AV371" t="s">
        <v>77</v>
      </c>
      <c r="AW371">
        <v>3</v>
      </c>
      <c r="AX371">
        <v>1</v>
      </c>
      <c r="AY371">
        <v>0</v>
      </c>
      <c r="AZ371">
        <v>1</v>
      </c>
    </row>
    <row r="372" spans="1:52" x14ac:dyDescent="0.35">
      <c r="A372">
        <v>2025221624441</v>
      </c>
      <c r="B372">
        <v>2025</v>
      </c>
      <c r="C372">
        <v>221624441</v>
      </c>
      <c r="D372">
        <v>400858</v>
      </c>
      <c r="E372">
        <v>243816</v>
      </c>
      <c r="F372">
        <v>-1.98889</v>
      </c>
      <c r="G372">
        <v>52.092689999999997</v>
      </c>
      <c r="H372">
        <v>22</v>
      </c>
      <c r="I372">
        <v>3</v>
      </c>
      <c r="J372" t="str">
        <f>VLOOKUP(I372, Lookups!$B$1:$C$4, 2, FALSE)</f>
        <v>Slight</v>
      </c>
      <c r="K372">
        <v>2</v>
      </c>
      <c r="L372">
        <v>1</v>
      </c>
      <c r="M372" s="1">
        <v>45872</v>
      </c>
      <c r="N372">
        <v>1</v>
      </c>
      <c r="O372" t="str">
        <f>VLOOKUP(N372, Lookups!$B$6:$C$12, 2, FALSE)</f>
        <v>Sunday</v>
      </c>
      <c r="P372" s="2">
        <v>0.7104166666666667</v>
      </c>
      <c r="Q372">
        <v>-1</v>
      </c>
      <c r="R372" t="s">
        <v>54</v>
      </c>
      <c r="S372" t="s">
        <v>45</v>
      </c>
      <c r="T372" t="s">
        <v>45</v>
      </c>
      <c r="U372">
        <v>4</v>
      </c>
      <c r="V372" t="str">
        <f>VLOOKUP(U372, Lookups!$B$51:$C$57, 2, FALSE)</f>
        <v>B</v>
      </c>
      <c r="W372">
        <v>4084</v>
      </c>
      <c r="X372" t="str">
        <f t="shared" si="49"/>
        <v>B4084</v>
      </c>
      <c r="Y372">
        <v>6</v>
      </c>
      <c r="Z372" t="str">
        <f>VLOOKUP(Y372, Lookups!$B$14:$C$21, 2, FALSE)</f>
        <v>Single carriageway</v>
      </c>
      <c r="AA372">
        <v>60</v>
      </c>
      <c r="AB372">
        <v>-1</v>
      </c>
      <c r="AC372">
        <v>18</v>
      </c>
      <c r="AD372">
        <v>4</v>
      </c>
      <c r="AE372">
        <v>6</v>
      </c>
      <c r="AF372">
        <v>0</v>
      </c>
      <c r="AG372">
        <v>-1</v>
      </c>
      <c r="AH372">
        <v>-1</v>
      </c>
      <c r="AI372">
        <v>0</v>
      </c>
      <c r="AJ372">
        <v>1</v>
      </c>
      <c r="AK372" t="str">
        <f>VLOOKUP(AJ372, Lookups!$B$23:$C$28, 2, FALSE)</f>
        <v>Daylight</v>
      </c>
      <c r="AL372">
        <v>1</v>
      </c>
      <c r="AM372" t="str">
        <f>VLOOKUP(AL372, Lookups!$B$30:$C$39, 2, FALSE)</f>
        <v>Fine / Clear</v>
      </c>
      <c r="AN372">
        <v>1</v>
      </c>
      <c r="AO372" t="str">
        <f>VLOOKUP(AN372, Lookups!$B$41:$C$49, 2, FALSE)</f>
        <v>Dry</v>
      </c>
      <c r="AP372">
        <v>-1</v>
      </c>
      <c r="AQ372">
        <v>-1</v>
      </c>
      <c r="AR372">
        <v>0</v>
      </c>
      <c r="AS372">
        <v>2</v>
      </c>
      <c r="AT372">
        <v>1</v>
      </c>
      <c r="AU372">
        <v>2</v>
      </c>
      <c r="AV372" t="s">
        <v>108</v>
      </c>
      <c r="AW372">
        <v>3</v>
      </c>
      <c r="AX372">
        <v>1</v>
      </c>
      <c r="AY372">
        <v>0</v>
      </c>
      <c r="AZ372">
        <v>1</v>
      </c>
    </row>
    <row r="373" spans="1:52" x14ac:dyDescent="0.35">
      <c r="A373">
        <v>2025221632713</v>
      </c>
      <c r="B373">
        <v>2025</v>
      </c>
      <c r="C373">
        <v>221632713</v>
      </c>
      <c r="D373">
        <v>380296</v>
      </c>
      <c r="E373">
        <v>276586</v>
      </c>
      <c r="F373">
        <v>-2.29094</v>
      </c>
      <c r="G373">
        <v>52.386940000000003</v>
      </c>
      <c r="H373">
        <v>22</v>
      </c>
      <c r="I373">
        <v>2</v>
      </c>
      <c r="J373" t="str">
        <f>VLOOKUP(I373, Lookups!$B$1:$C$4, 2, FALSE)</f>
        <v>Serious</v>
      </c>
      <c r="K373">
        <v>2</v>
      </c>
      <c r="L373">
        <v>1</v>
      </c>
      <c r="M373" s="1">
        <v>45893</v>
      </c>
      <c r="N373">
        <v>1</v>
      </c>
      <c r="O373" t="str">
        <f>VLOOKUP(N373, Lookups!$B$6:$C$12, 2, FALSE)</f>
        <v>Sunday</v>
      </c>
      <c r="P373" s="2">
        <v>0.51041666666666663</v>
      </c>
      <c r="Q373">
        <v>-1</v>
      </c>
      <c r="R373" t="s">
        <v>44</v>
      </c>
      <c r="S373" t="s">
        <v>45</v>
      </c>
      <c r="T373" t="s">
        <v>45</v>
      </c>
      <c r="U373">
        <v>4</v>
      </c>
      <c r="V373" t="str">
        <f>VLOOKUP(U373, Lookups!$B$51:$C$57, 2, FALSE)</f>
        <v>B</v>
      </c>
      <c r="W373">
        <v>4190</v>
      </c>
      <c r="X373" t="str">
        <f t="shared" si="49"/>
        <v>B4190</v>
      </c>
      <c r="Y373">
        <v>6</v>
      </c>
      <c r="Z373" t="str">
        <f>VLOOKUP(Y373, Lookups!$B$14:$C$21, 2, FALSE)</f>
        <v>Single carriageway</v>
      </c>
      <c r="AA373">
        <v>40</v>
      </c>
      <c r="AB373">
        <v>-1</v>
      </c>
      <c r="AC373">
        <v>19</v>
      </c>
      <c r="AD373">
        <v>4</v>
      </c>
      <c r="AE373">
        <v>6</v>
      </c>
      <c r="AF373">
        <v>0</v>
      </c>
      <c r="AG373">
        <v>-1</v>
      </c>
      <c r="AH373">
        <v>-1</v>
      </c>
      <c r="AI373">
        <v>0</v>
      </c>
      <c r="AJ373">
        <v>1</v>
      </c>
      <c r="AK373" t="str">
        <f>VLOOKUP(AJ373, Lookups!$B$23:$C$28, 2, FALSE)</f>
        <v>Daylight</v>
      </c>
      <c r="AL373">
        <v>1</v>
      </c>
      <c r="AM373" t="str">
        <f>VLOOKUP(AL373, Lookups!$B$30:$C$39, 2, FALSE)</f>
        <v>Fine / Clear</v>
      </c>
      <c r="AN373">
        <v>1</v>
      </c>
      <c r="AO373" t="str">
        <f>VLOOKUP(AN373, Lookups!$B$41:$C$49, 2, FALSE)</f>
        <v>Dry</v>
      </c>
      <c r="AP373">
        <v>-1</v>
      </c>
      <c r="AQ373">
        <v>-1</v>
      </c>
      <c r="AR373">
        <v>0</v>
      </c>
      <c r="AS373">
        <v>2</v>
      </c>
      <c r="AT373">
        <v>3</v>
      </c>
      <c r="AU373">
        <v>2</v>
      </c>
      <c r="AV373" t="s">
        <v>91</v>
      </c>
      <c r="AW373">
        <v>5</v>
      </c>
      <c r="AX373">
        <v>1</v>
      </c>
      <c r="AY373">
        <v>1</v>
      </c>
      <c r="AZ373">
        <v>0</v>
      </c>
    </row>
    <row r="374" spans="1:52" x14ac:dyDescent="0.35">
      <c r="A374">
        <v>2025221541051</v>
      </c>
      <c r="B374">
        <v>2025</v>
      </c>
      <c r="C374">
        <v>221541051</v>
      </c>
      <c r="D374">
        <v>403429</v>
      </c>
      <c r="E374">
        <v>243475</v>
      </c>
      <c r="F374">
        <v>-1.95137</v>
      </c>
      <c r="G374">
        <v>52.08961</v>
      </c>
      <c r="H374">
        <v>22</v>
      </c>
      <c r="I374">
        <v>3</v>
      </c>
      <c r="J374" t="str">
        <f>VLOOKUP(I374, Lookups!$B$1:$C$4, 2, FALSE)</f>
        <v>Slight</v>
      </c>
      <c r="K374">
        <v>2</v>
      </c>
      <c r="L374">
        <v>1</v>
      </c>
      <c r="M374" s="1">
        <v>45667</v>
      </c>
      <c r="N374">
        <v>6</v>
      </c>
      <c r="O374" t="str">
        <f>VLOOKUP(N374, Lookups!$B$6:$C$12, 2, FALSE)</f>
        <v>Friday</v>
      </c>
      <c r="P374" s="2">
        <v>0.41249999999999998</v>
      </c>
      <c r="Q374">
        <v>-1</v>
      </c>
      <c r="R374" t="s">
        <v>54</v>
      </c>
      <c r="S374" t="s">
        <v>45</v>
      </c>
      <c r="T374" t="s">
        <v>45</v>
      </c>
      <c r="U374">
        <v>6</v>
      </c>
      <c r="V374" t="str">
        <f>VLOOKUP(U374, Lookups!$B$51:$C$57, 2, FALSE)</f>
        <v>Unclassified</v>
      </c>
      <c r="W374">
        <v>0</v>
      </c>
      <c r="X374" t="s">
        <v>362</v>
      </c>
      <c r="Y374">
        <v>6</v>
      </c>
      <c r="Z374" t="str">
        <f>VLOOKUP(Y374, Lookups!$B$14:$C$21, 2, FALSE)</f>
        <v>Single carriageway</v>
      </c>
      <c r="AA374">
        <v>30</v>
      </c>
      <c r="AB374">
        <v>-1</v>
      </c>
      <c r="AC374">
        <v>19</v>
      </c>
      <c r="AD374">
        <v>4</v>
      </c>
      <c r="AE374">
        <v>6</v>
      </c>
      <c r="AF374">
        <v>0</v>
      </c>
      <c r="AG374">
        <v>-1</v>
      </c>
      <c r="AH374">
        <v>-1</v>
      </c>
      <c r="AI374">
        <v>0</v>
      </c>
      <c r="AJ374">
        <v>1</v>
      </c>
      <c r="AK374" t="str">
        <f>VLOOKUP(AJ374, Lookups!$B$23:$C$28, 2, FALSE)</f>
        <v>Daylight</v>
      </c>
      <c r="AL374">
        <v>1</v>
      </c>
      <c r="AM374" t="str">
        <f>VLOOKUP(AL374, Lookups!$B$30:$C$39, 2, FALSE)</f>
        <v>Fine / Clear</v>
      </c>
      <c r="AN374">
        <v>2</v>
      </c>
      <c r="AO374" t="str">
        <f>VLOOKUP(AN374, Lookups!$B$41:$C$49, 2, FALSE)</f>
        <v>Wet / damp</v>
      </c>
      <c r="AP374">
        <v>-1</v>
      </c>
      <c r="AQ374">
        <v>-1</v>
      </c>
      <c r="AR374">
        <v>0</v>
      </c>
      <c r="AS374">
        <v>1</v>
      </c>
      <c r="AT374">
        <v>3</v>
      </c>
      <c r="AU374">
        <v>2</v>
      </c>
      <c r="AV374" t="s">
        <v>201</v>
      </c>
      <c r="AW374">
        <v>3</v>
      </c>
      <c r="AX374">
        <v>1</v>
      </c>
      <c r="AY374">
        <v>0</v>
      </c>
      <c r="AZ374">
        <v>1</v>
      </c>
    </row>
    <row r="375" spans="1:52" x14ac:dyDescent="0.35">
      <c r="A375">
        <v>2025221587193</v>
      </c>
      <c r="B375">
        <v>2025</v>
      </c>
      <c r="C375">
        <v>221587193</v>
      </c>
      <c r="D375">
        <v>384688</v>
      </c>
      <c r="E375">
        <v>254924</v>
      </c>
      <c r="F375">
        <v>-2.2254200000000002</v>
      </c>
      <c r="G375">
        <v>52.192340000000002</v>
      </c>
      <c r="H375">
        <v>22</v>
      </c>
      <c r="I375">
        <v>3</v>
      </c>
      <c r="J375" t="str">
        <f>VLOOKUP(I375, Lookups!$B$1:$C$4, 2, FALSE)</f>
        <v>Slight</v>
      </c>
      <c r="K375">
        <v>2</v>
      </c>
      <c r="L375">
        <v>1</v>
      </c>
      <c r="M375" s="1">
        <v>45778</v>
      </c>
      <c r="N375">
        <v>5</v>
      </c>
      <c r="O375" t="str">
        <f>VLOOKUP(N375, Lookups!$B$6:$C$12, 2, FALSE)</f>
        <v>Thursday</v>
      </c>
      <c r="P375" s="2">
        <v>0.5229166666666667</v>
      </c>
      <c r="Q375">
        <v>-1</v>
      </c>
      <c r="R375" t="s">
        <v>60</v>
      </c>
      <c r="S375" t="s">
        <v>45</v>
      </c>
      <c r="T375" t="s">
        <v>45</v>
      </c>
      <c r="U375">
        <v>3</v>
      </c>
      <c r="V375" t="str">
        <f>VLOOKUP(U375, Lookups!$B$51:$C$57, 2, FALSE)</f>
        <v>A</v>
      </c>
      <c r="W375">
        <v>44</v>
      </c>
      <c r="X375" t="str">
        <f t="shared" ref="X375:X376" si="50">V375&amp;W375</f>
        <v>A44</v>
      </c>
      <c r="Y375">
        <v>2</v>
      </c>
      <c r="Z375" t="str">
        <f>VLOOKUP(Y375, Lookups!$B$14:$C$21, 2, FALSE)</f>
        <v>One way street</v>
      </c>
      <c r="AA375">
        <v>30</v>
      </c>
      <c r="AB375">
        <v>-1</v>
      </c>
      <c r="AC375">
        <v>19</v>
      </c>
      <c r="AD375">
        <v>4</v>
      </c>
      <c r="AE375">
        <v>6</v>
      </c>
      <c r="AF375">
        <v>0</v>
      </c>
      <c r="AG375">
        <v>-1</v>
      </c>
      <c r="AH375">
        <v>-1</v>
      </c>
      <c r="AI375">
        <v>0</v>
      </c>
      <c r="AJ375">
        <v>1</v>
      </c>
      <c r="AK375" t="str">
        <f>VLOOKUP(AJ375, Lookups!$B$23:$C$28, 2, FALSE)</f>
        <v>Daylight</v>
      </c>
      <c r="AL375">
        <v>1</v>
      </c>
      <c r="AM375" t="str">
        <f>VLOOKUP(AL375, Lookups!$B$30:$C$39, 2, FALSE)</f>
        <v>Fine / Clear</v>
      </c>
      <c r="AN375">
        <v>1</v>
      </c>
      <c r="AO375" t="str">
        <f>VLOOKUP(AN375, Lookups!$B$41:$C$49, 2, FALSE)</f>
        <v>Dry</v>
      </c>
      <c r="AP375">
        <v>-1</v>
      </c>
      <c r="AQ375">
        <v>-1</v>
      </c>
      <c r="AR375">
        <v>0</v>
      </c>
      <c r="AS375">
        <v>1</v>
      </c>
      <c r="AT375">
        <v>1</v>
      </c>
      <c r="AU375">
        <v>2</v>
      </c>
      <c r="AV375" t="s">
        <v>142</v>
      </c>
      <c r="AW375">
        <v>3</v>
      </c>
      <c r="AX375">
        <v>1</v>
      </c>
      <c r="AY375">
        <v>0</v>
      </c>
      <c r="AZ375">
        <v>1</v>
      </c>
    </row>
    <row r="376" spans="1:52" x14ac:dyDescent="0.35">
      <c r="A376">
        <v>2025221585518</v>
      </c>
      <c r="B376">
        <v>2025</v>
      </c>
      <c r="C376">
        <v>221585518</v>
      </c>
      <c r="D376">
        <v>384064</v>
      </c>
      <c r="E376">
        <v>277492</v>
      </c>
      <c r="F376">
        <v>-2.2356199999999999</v>
      </c>
      <c r="G376">
        <v>52.395209999999999</v>
      </c>
      <c r="H376">
        <v>22</v>
      </c>
      <c r="I376">
        <v>3</v>
      </c>
      <c r="J376" t="str">
        <f>VLOOKUP(I376, Lookups!$B$1:$C$4, 2, FALSE)</f>
        <v>Slight</v>
      </c>
      <c r="K376">
        <v>2</v>
      </c>
      <c r="L376">
        <v>1</v>
      </c>
      <c r="M376" s="1">
        <v>45780</v>
      </c>
      <c r="N376">
        <v>7</v>
      </c>
      <c r="O376" t="str">
        <f>VLOOKUP(N376, Lookups!$B$6:$C$12, 2, FALSE)</f>
        <v>Saturday</v>
      </c>
      <c r="P376" s="2">
        <v>0.8930555555555556</v>
      </c>
      <c r="Q376">
        <v>-1</v>
      </c>
      <c r="R376" t="s">
        <v>44</v>
      </c>
      <c r="S376" t="s">
        <v>45</v>
      </c>
      <c r="T376" t="s">
        <v>45</v>
      </c>
      <c r="U376">
        <v>3</v>
      </c>
      <c r="V376" t="str">
        <f>VLOOKUP(U376, Lookups!$B$51:$C$57, 2, FALSE)</f>
        <v>A</v>
      </c>
      <c r="W376">
        <v>449</v>
      </c>
      <c r="X376" t="str">
        <f t="shared" si="50"/>
        <v>A449</v>
      </c>
      <c r="Y376">
        <v>6</v>
      </c>
      <c r="Z376" t="str">
        <f>VLOOKUP(Y376, Lookups!$B$14:$C$21, 2, FALSE)</f>
        <v>Single carriageway</v>
      </c>
      <c r="AA376">
        <v>30</v>
      </c>
      <c r="AB376">
        <v>-1</v>
      </c>
      <c r="AC376">
        <v>16</v>
      </c>
      <c r="AD376">
        <v>2</v>
      </c>
      <c r="AE376">
        <v>6</v>
      </c>
      <c r="AF376">
        <v>0</v>
      </c>
      <c r="AG376">
        <v>-1</v>
      </c>
      <c r="AH376">
        <v>-1</v>
      </c>
      <c r="AI376">
        <v>15</v>
      </c>
      <c r="AJ376">
        <v>4</v>
      </c>
      <c r="AK376" t="str">
        <f>VLOOKUP(AJ376, Lookups!$B$23:$C$28, 2, FALSE)</f>
        <v>Darkness (Lit)</v>
      </c>
      <c r="AL376">
        <v>1</v>
      </c>
      <c r="AM376" t="str">
        <f>VLOOKUP(AL376, Lookups!$B$30:$C$39, 2, FALSE)</f>
        <v>Fine / Clear</v>
      </c>
      <c r="AN376">
        <v>1</v>
      </c>
      <c r="AO376" t="str">
        <f>VLOOKUP(AN376, Lookups!$B$41:$C$49, 2, FALSE)</f>
        <v>Dry</v>
      </c>
      <c r="AP376">
        <v>-1</v>
      </c>
      <c r="AQ376">
        <v>-1</v>
      </c>
      <c r="AR376">
        <v>0</v>
      </c>
      <c r="AS376">
        <v>1</v>
      </c>
      <c r="AT376">
        <v>1</v>
      </c>
      <c r="AU376">
        <v>2</v>
      </c>
      <c r="AV376" t="s">
        <v>251</v>
      </c>
      <c r="AW376">
        <v>3</v>
      </c>
      <c r="AX376">
        <v>1</v>
      </c>
      <c r="AY376">
        <v>0</v>
      </c>
      <c r="AZ376">
        <v>1</v>
      </c>
    </row>
    <row r="377" spans="1:52" x14ac:dyDescent="0.35">
      <c r="A377">
        <v>2025221620908</v>
      </c>
      <c r="B377">
        <v>2025</v>
      </c>
      <c r="C377">
        <v>221620908</v>
      </c>
      <c r="D377">
        <v>397418</v>
      </c>
      <c r="E377">
        <v>282059</v>
      </c>
      <c r="F377">
        <v>-2.0394100000000002</v>
      </c>
      <c r="G377">
        <v>52.436500000000002</v>
      </c>
      <c r="H377">
        <v>22</v>
      </c>
      <c r="I377">
        <v>3</v>
      </c>
      <c r="J377" t="str">
        <f>VLOOKUP(I377, Lookups!$B$1:$C$4, 2, FALSE)</f>
        <v>Slight</v>
      </c>
      <c r="K377">
        <v>2</v>
      </c>
      <c r="L377">
        <v>2</v>
      </c>
      <c r="M377" s="1">
        <v>45863</v>
      </c>
      <c r="N377">
        <v>6</v>
      </c>
      <c r="O377" t="str">
        <f>VLOOKUP(N377, Lookups!$B$6:$C$12, 2, FALSE)</f>
        <v>Friday</v>
      </c>
      <c r="P377" s="2">
        <v>0.75694444444444442</v>
      </c>
      <c r="Q377">
        <v>-1</v>
      </c>
      <c r="R377" t="s">
        <v>47</v>
      </c>
      <c r="S377" t="s">
        <v>45</v>
      </c>
      <c r="T377" t="s">
        <v>45</v>
      </c>
      <c r="U377">
        <v>6</v>
      </c>
      <c r="V377" t="str">
        <f>VLOOKUP(U377, Lookups!$B$51:$C$57, 2, FALSE)</f>
        <v>Unclassified</v>
      </c>
      <c r="W377">
        <v>0</v>
      </c>
      <c r="X377" t="s">
        <v>362</v>
      </c>
      <c r="Y377">
        <v>6</v>
      </c>
      <c r="Z377" t="str">
        <f>VLOOKUP(Y377, Lookups!$B$14:$C$21, 2, FALSE)</f>
        <v>Single carriageway</v>
      </c>
      <c r="AA377">
        <v>60</v>
      </c>
      <c r="AB377">
        <v>-1</v>
      </c>
      <c r="AC377">
        <v>0</v>
      </c>
      <c r="AD377">
        <v>-1</v>
      </c>
      <c r="AE377">
        <v>6</v>
      </c>
      <c r="AF377">
        <v>0</v>
      </c>
      <c r="AG377">
        <v>-1</v>
      </c>
      <c r="AH377">
        <v>-1</v>
      </c>
      <c r="AI377">
        <v>0</v>
      </c>
      <c r="AJ377">
        <v>1</v>
      </c>
      <c r="AK377" t="str">
        <f>VLOOKUP(AJ377, Lookups!$B$23:$C$28, 2, FALSE)</f>
        <v>Daylight</v>
      </c>
      <c r="AL377">
        <v>1</v>
      </c>
      <c r="AM377" t="str">
        <f>VLOOKUP(AL377, Lookups!$B$30:$C$39, 2, FALSE)</f>
        <v>Fine / Clear</v>
      </c>
      <c r="AN377">
        <v>1</v>
      </c>
      <c r="AO377" t="str">
        <f>VLOOKUP(AN377, Lookups!$B$41:$C$49, 2, FALSE)</f>
        <v>Dry</v>
      </c>
      <c r="AP377">
        <v>-1</v>
      </c>
      <c r="AQ377">
        <v>-1</v>
      </c>
      <c r="AR377">
        <v>0</v>
      </c>
      <c r="AS377">
        <v>2</v>
      </c>
      <c r="AT377">
        <v>1</v>
      </c>
      <c r="AU377">
        <v>2</v>
      </c>
      <c r="AV377" t="s">
        <v>149</v>
      </c>
      <c r="AW377">
        <v>3</v>
      </c>
      <c r="AX377">
        <v>1</v>
      </c>
      <c r="AY377">
        <v>0</v>
      </c>
      <c r="AZ377">
        <v>1</v>
      </c>
    </row>
    <row r="378" spans="1:52" x14ac:dyDescent="0.35">
      <c r="A378">
        <v>2025221640602</v>
      </c>
      <c r="B378">
        <v>2025</v>
      </c>
      <c r="C378">
        <v>221640602</v>
      </c>
      <c r="D378">
        <v>386887</v>
      </c>
      <c r="E378">
        <v>256993</v>
      </c>
      <c r="F378">
        <v>-2.19333</v>
      </c>
      <c r="G378">
        <v>52.210999999999999</v>
      </c>
      <c r="H378">
        <v>22</v>
      </c>
      <c r="I378">
        <v>3</v>
      </c>
      <c r="J378" t="str">
        <f>VLOOKUP(I378, Lookups!$B$1:$C$4, 2, FALSE)</f>
        <v>Slight</v>
      </c>
      <c r="K378">
        <v>2</v>
      </c>
      <c r="L378">
        <v>1</v>
      </c>
      <c r="M378" s="1">
        <v>45911</v>
      </c>
      <c r="N378">
        <v>5</v>
      </c>
      <c r="O378" t="str">
        <f>VLOOKUP(N378, Lookups!$B$6:$C$12, 2, FALSE)</f>
        <v>Thursday</v>
      </c>
      <c r="P378" s="2">
        <v>0.63541666666666663</v>
      </c>
      <c r="Q378">
        <v>-1</v>
      </c>
      <c r="R378" t="s">
        <v>60</v>
      </c>
      <c r="S378" t="s">
        <v>45</v>
      </c>
      <c r="T378" t="s">
        <v>45</v>
      </c>
      <c r="U378">
        <v>6</v>
      </c>
      <c r="V378" t="str">
        <f>VLOOKUP(U378, Lookups!$B$51:$C$57, 2, FALSE)</f>
        <v>Unclassified</v>
      </c>
      <c r="W378">
        <v>0</v>
      </c>
      <c r="X378" t="s">
        <v>362</v>
      </c>
      <c r="Y378">
        <v>6</v>
      </c>
      <c r="Z378" t="str">
        <f>VLOOKUP(Y378, Lookups!$B$14:$C$21, 2, FALSE)</f>
        <v>Single carriageway</v>
      </c>
      <c r="AA378">
        <v>30</v>
      </c>
      <c r="AB378">
        <v>-1</v>
      </c>
      <c r="AC378">
        <v>13</v>
      </c>
      <c r="AD378">
        <v>4</v>
      </c>
      <c r="AE378">
        <v>6</v>
      </c>
      <c r="AF378">
        <v>0</v>
      </c>
      <c r="AG378">
        <v>-1</v>
      </c>
      <c r="AH378">
        <v>-1</v>
      </c>
      <c r="AI378">
        <v>0</v>
      </c>
      <c r="AJ378">
        <v>1</v>
      </c>
      <c r="AK378" t="str">
        <f>VLOOKUP(AJ378, Lookups!$B$23:$C$28, 2, FALSE)</f>
        <v>Daylight</v>
      </c>
      <c r="AL378">
        <v>1</v>
      </c>
      <c r="AM378" t="str">
        <f>VLOOKUP(AL378, Lookups!$B$30:$C$39, 2, FALSE)</f>
        <v>Fine / Clear</v>
      </c>
      <c r="AN378">
        <v>1</v>
      </c>
      <c r="AO378" t="str">
        <f>VLOOKUP(AN378, Lookups!$B$41:$C$49, 2, FALSE)</f>
        <v>Dry</v>
      </c>
      <c r="AP378">
        <v>-1</v>
      </c>
      <c r="AQ378">
        <v>-1</v>
      </c>
      <c r="AR378">
        <v>0</v>
      </c>
      <c r="AS378">
        <v>1</v>
      </c>
      <c r="AT378">
        <v>3</v>
      </c>
      <c r="AU378">
        <v>2</v>
      </c>
      <c r="AV378" t="s">
        <v>252</v>
      </c>
      <c r="AW378">
        <v>3</v>
      </c>
      <c r="AX378">
        <v>1</v>
      </c>
      <c r="AY378">
        <v>0</v>
      </c>
      <c r="AZ378">
        <v>1</v>
      </c>
    </row>
    <row r="379" spans="1:52" x14ac:dyDescent="0.35">
      <c r="A379">
        <v>2025221586360</v>
      </c>
      <c r="B379">
        <v>2025</v>
      </c>
      <c r="C379">
        <v>221586360</v>
      </c>
      <c r="D379">
        <v>384766</v>
      </c>
      <c r="E379">
        <v>281768</v>
      </c>
      <c r="F379">
        <v>-2.2254999999999998</v>
      </c>
      <c r="G379">
        <v>52.433669999999999</v>
      </c>
      <c r="H379">
        <v>22</v>
      </c>
      <c r="I379">
        <v>2</v>
      </c>
      <c r="J379" t="str">
        <f>VLOOKUP(I379, Lookups!$B$1:$C$4, 2, FALSE)</f>
        <v>Serious</v>
      </c>
      <c r="K379">
        <v>1</v>
      </c>
      <c r="L379">
        <v>2</v>
      </c>
      <c r="M379" s="1">
        <v>45779</v>
      </c>
      <c r="N379">
        <v>6</v>
      </c>
      <c r="O379" t="str">
        <f>VLOOKUP(N379, Lookups!$B$6:$C$12, 2, FALSE)</f>
        <v>Friday</v>
      </c>
      <c r="P379" s="2">
        <v>0.89583333333333337</v>
      </c>
      <c r="Q379">
        <v>-1</v>
      </c>
      <c r="R379" t="s">
        <v>44</v>
      </c>
      <c r="S379" t="s">
        <v>45</v>
      </c>
      <c r="T379" t="s">
        <v>45</v>
      </c>
      <c r="U379">
        <v>6</v>
      </c>
      <c r="V379" t="str">
        <f>VLOOKUP(U379, Lookups!$B$51:$C$57, 2, FALSE)</f>
        <v>Unclassified</v>
      </c>
      <c r="W379">
        <v>0</v>
      </c>
      <c r="X379" t="s">
        <v>362</v>
      </c>
      <c r="Y379">
        <v>6</v>
      </c>
      <c r="Z379" t="str">
        <f>VLOOKUP(Y379, Lookups!$B$14:$C$21, 2, FALSE)</f>
        <v>Single carriageway</v>
      </c>
      <c r="AA379">
        <v>60</v>
      </c>
      <c r="AB379">
        <v>-1</v>
      </c>
      <c r="AC379">
        <v>0</v>
      </c>
      <c r="AD379">
        <v>-1</v>
      </c>
      <c r="AE379">
        <v>0</v>
      </c>
      <c r="AF379">
        <v>-1</v>
      </c>
      <c r="AG379">
        <v>-1</v>
      </c>
      <c r="AH379">
        <v>-1</v>
      </c>
      <c r="AI379">
        <v>0</v>
      </c>
      <c r="AJ379">
        <v>6</v>
      </c>
      <c r="AK379" t="str">
        <f>VLOOKUP(AJ379, Lookups!$B$23:$C$28, 2, FALSE)</f>
        <v>Darkness (Unlit)</v>
      </c>
      <c r="AL379">
        <v>1</v>
      </c>
      <c r="AM379" t="str">
        <f>VLOOKUP(AL379, Lookups!$B$30:$C$39, 2, FALSE)</f>
        <v>Fine / Clear</v>
      </c>
      <c r="AN379">
        <v>1</v>
      </c>
      <c r="AO379" t="str">
        <f>VLOOKUP(AN379, Lookups!$B$41:$C$49, 2, FALSE)</f>
        <v>Dry</v>
      </c>
      <c r="AP379">
        <v>-1</v>
      </c>
      <c r="AQ379">
        <v>-1</v>
      </c>
      <c r="AR379">
        <v>0</v>
      </c>
      <c r="AS379">
        <v>2</v>
      </c>
      <c r="AT379">
        <v>1</v>
      </c>
      <c r="AU379">
        <v>2</v>
      </c>
      <c r="AV379" t="s">
        <v>253</v>
      </c>
      <c r="AW379">
        <v>7</v>
      </c>
      <c r="AX379">
        <v>1</v>
      </c>
      <c r="AY379">
        <v>1</v>
      </c>
      <c r="AZ379">
        <v>0</v>
      </c>
    </row>
    <row r="380" spans="1:52" x14ac:dyDescent="0.35">
      <c r="A380">
        <v>2025221594747</v>
      </c>
      <c r="B380">
        <v>2025</v>
      </c>
      <c r="C380">
        <v>221594747</v>
      </c>
      <c r="D380">
        <v>403052</v>
      </c>
      <c r="E380">
        <v>240204</v>
      </c>
      <c r="F380">
        <v>-1.9569000000000001</v>
      </c>
      <c r="G380">
        <v>52.060209999999998</v>
      </c>
      <c r="H380">
        <v>22</v>
      </c>
      <c r="I380">
        <v>3</v>
      </c>
      <c r="J380" t="str">
        <f>VLOOKUP(I380, Lookups!$B$1:$C$4, 2, FALSE)</f>
        <v>Slight</v>
      </c>
      <c r="K380">
        <v>2</v>
      </c>
      <c r="L380">
        <v>2</v>
      </c>
      <c r="M380" s="1">
        <v>45802</v>
      </c>
      <c r="N380">
        <v>1</v>
      </c>
      <c r="O380" t="str">
        <f>VLOOKUP(N380, Lookups!$B$6:$C$12, 2, FALSE)</f>
        <v>Sunday</v>
      </c>
      <c r="P380" s="2">
        <v>0.59861111111111109</v>
      </c>
      <c r="Q380">
        <v>-1</v>
      </c>
      <c r="R380" t="s">
        <v>54</v>
      </c>
      <c r="S380" t="s">
        <v>45</v>
      </c>
      <c r="T380" t="s">
        <v>45</v>
      </c>
      <c r="U380">
        <v>3</v>
      </c>
      <c r="V380" t="str">
        <f>VLOOKUP(U380, Lookups!$B$51:$C$57, 2, FALSE)</f>
        <v>A</v>
      </c>
      <c r="W380">
        <v>46</v>
      </c>
      <c r="X380" t="str">
        <f t="shared" ref="X380:X383" si="51">V380&amp;W380</f>
        <v>A46</v>
      </c>
      <c r="Y380">
        <v>6</v>
      </c>
      <c r="Z380" t="str">
        <f>VLOOKUP(Y380, Lookups!$B$14:$C$21, 2, FALSE)</f>
        <v>Single carriageway</v>
      </c>
      <c r="AA380">
        <v>40</v>
      </c>
      <c r="AB380">
        <v>-1</v>
      </c>
      <c r="AC380">
        <v>13</v>
      </c>
      <c r="AD380">
        <v>4</v>
      </c>
      <c r="AE380">
        <v>6</v>
      </c>
      <c r="AF380">
        <v>0</v>
      </c>
      <c r="AG380">
        <v>-1</v>
      </c>
      <c r="AH380">
        <v>-1</v>
      </c>
      <c r="AI380">
        <v>0</v>
      </c>
      <c r="AJ380">
        <v>1</v>
      </c>
      <c r="AK380" t="str">
        <f>VLOOKUP(AJ380, Lookups!$B$23:$C$28, 2, FALSE)</f>
        <v>Daylight</v>
      </c>
      <c r="AL380">
        <v>1</v>
      </c>
      <c r="AM380" t="str">
        <f>VLOOKUP(AL380, Lookups!$B$30:$C$39, 2, FALSE)</f>
        <v>Fine / Clear</v>
      </c>
      <c r="AN380">
        <v>1</v>
      </c>
      <c r="AO380" t="str">
        <f>VLOOKUP(AN380, Lookups!$B$41:$C$49, 2, FALSE)</f>
        <v>Dry</v>
      </c>
      <c r="AP380">
        <v>-1</v>
      </c>
      <c r="AQ380">
        <v>-1</v>
      </c>
      <c r="AR380">
        <v>0</v>
      </c>
      <c r="AS380">
        <v>2</v>
      </c>
      <c r="AT380">
        <v>1</v>
      </c>
      <c r="AU380">
        <v>1</v>
      </c>
      <c r="AV380" t="s">
        <v>134</v>
      </c>
      <c r="AW380">
        <v>3</v>
      </c>
      <c r="AX380">
        <v>1</v>
      </c>
      <c r="AY380">
        <v>0</v>
      </c>
      <c r="AZ380">
        <v>1</v>
      </c>
    </row>
    <row r="381" spans="1:52" x14ac:dyDescent="0.35">
      <c r="A381">
        <v>2025221640997</v>
      </c>
      <c r="B381">
        <v>2025</v>
      </c>
      <c r="C381">
        <v>221640997</v>
      </c>
      <c r="D381">
        <v>381750</v>
      </c>
      <c r="E381">
        <v>273349</v>
      </c>
      <c r="F381">
        <v>-2.2694000000000001</v>
      </c>
      <c r="G381">
        <v>52.357889999999998</v>
      </c>
      <c r="H381">
        <v>22</v>
      </c>
      <c r="I381">
        <v>1</v>
      </c>
      <c r="J381" t="str">
        <f>VLOOKUP(I381, Lookups!$B$1:$C$4, 2, FALSE)</f>
        <v>Fatal</v>
      </c>
      <c r="K381">
        <v>1</v>
      </c>
      <c r="L381">
        <v>1</v>
      </c>
      <c r="M381" s="1">
        <v>45912</v>
      </c>
      <c r="N381">
        <v>6</v>
      </c>
      <c r="O381" t="str">
        <f>VLOOKUP(N381, Lookups!$B$6:$C$12, 2, FALSE)</f>
        <v>Friday</v>
      </c>
      <c r="P381" s="2">
        <v>0.80694444444444446</v>
      </c>
      <c r="Q381">
        <v>-1</v>
      </c>
      <c r="R381" t="s">
        <v>44</v>
      </c>
      <c r="S381" t="s">
        <v>45</v>
      </c>
      <c r="T381" t="s">
        <v>45</v>
      </c>
      <c r="U381">
        <v>3</v>
      </c>
      <c r="V381" t="str">
        <f>VLOOKUP(U381, Lookups!$B$51:$C$57, 2, FALSE)</f>
        <v>A</v>
      </c>
      <c r="W381">
        <v>451</v>
      </c>
      <c r="X381" t="str">
        <f t="shared" si="51"/>
        <v>A451</v>
      </c>
      <c r="Y381">
        <v>3</v>
      </c>
      <c r="Z381" t="str">
        <f>VLOOKUP(Y381, Lookups!$B$14:$C$21, 2, FALSE)</f>
        <v>Dual carriageway</v>
      </c>
      <c r="AA381">
        <v>70</v>
      </c>
      <c r="AB381">
        <v>-1</v>
      </c>
      <c r="AC381">
        <v>0</v>
      </c>
      <c r="AD381">
        <v>-1</v>
      </c>
      <c r="AE381">
        <v>0</v>
      </c>
      <c r="AF381">
        <v>-1</v>
      </c>
      <c r="AG381">
        <v>-1</v>
      </c>
      <c r="AH381">
        <v>-1</v>
      </c>
      <c r="AI381">
        <v>0</v>
      </c>
      <c r="AJ381">
        <v>1</v>
      </c>
      <c r="AK381" t="str">
        <f>VLOOKUP(AJ381, Lookups!$B$23:$C$28, 2, FALSE)</f>
        <v>Daylight</v>
      </c>
      <c r="AL381">
        <v>1</v>
      </c>
      <c r="AM381" t="str">
        <f>VLOOKUP(AL381, Lookups!$B$30:$C$39, 2, FALSE)</f>
        <v>Fine / Clear</v>
      </c>
      <c r="AN381">
        <v>1</v>
      </c>
      <c r="AO381" t="str">
        <f>VLOOKUP(AN381, Lookups!$B$41:$C$49, 2, FALSE)</f>
        <v>Dry</v>
      </c>
      <c r="AP381">
        <v>-1</v>
      </c>
      <c r="AQ381">
        <v>-1</v>
      </c>
      <c r="AR381">
        <v>0</v>
      </c>
      <c r="AS381">
        <v>2</v>
      </c>
      <c r="AT381">
        <v>1</v>
      </c>
      <c r="AU381">
        <v>2</v>
      </c>
      <c r="AV381" t="s">
        <v>110</v>
      </c>
      <c r="AW381">
        <v>1</v>
      </c>
      <c r="AX381">
        <v>1</v>
      </c>
      <c r="AY381">
        <v>0</v>
      </c>
      <c r="AZ381">
        <v>0</v>
      </c>
    </row>
    <row r="382" spans="1:52" x14ac:dyDescent="0.35">
      <c r="A382">
        <v>2025221574205</v>
      </c>
      <c r="B382">
        <v>2025</v>
      </c>
      <c r="C382">
        <v>221574205</v>
      </c>
      <c r="D382">
        <v>407800</v>
      </c>
      <c r="E382">
        <v>273088</v>
      </c>
      <c r="F382">
        <v>-1.8869</v>
      </c>
      <c r="G382">
        <v>52.355800000000002</v>
      </c>
      <c r="H382">
        <v>22</v>
      </c>
      <c r="I382">
        <v>3</v>
      </c>
      <c r="J382" t="str">
        <f>VLOOKUP(I382, Lookups!$B$1:$C$4, 2, FALSE)</f>
        <v>Slight</v>
      </c>
      <c r="K382">
        <v>2</v>
      </c>
      <c r="L382">
        <v>4</v>
      </c>
      <c r="M382" s="1">
        <v>45752</v>
      </c>
      <c r="N382">
        <v>7</v>
      </c>
      <c r="O382" t="str">
        <f>VLOOKUP(N382, Lookups!$B$6:$C$12, 2, FALSE)</f>
        <v>Saturday</v>
      </c>
      <c r="P382" s="2">
        <v>0.47222222222222221</v>
      </c>
      <c r="Q382">
        <v>-1</v>
      </c>
      <c r="R382" t="s">
        <v>47</v>
      </c>
      <c r="S382" t="s">
        <v>45</v>
      </c>
      <c r="T382" t="s">
        <v>45</v>
      </c>
      <c r="U382">
        <v>3</v>
      </c>
      <c r="V382" t="str">
        <f>VLOOKUP(U382, Lookups!$B$51:$C$57, 2, FALSE)</f>
        <v>A</v>
      </c>
      <c r="W382">
        <v>435</v>
      </c>
      <c r="X382" t="str">
        <f t="shared" si="51"/>
        <v>A435</v>
      </c>
      <c r="Y382">
        <v>1</v>
      </c>
      <c r="Z382" t="str">
        <f>VLOOKUP(Y382, Lookups!$B$14:$C$21, 2, FALSE)</f>
        <v>Roundabout</v>
      </c>
      <c r="AA382">
        <v>40</v>
      </c>
      <c r="AB382">
        <v>-1</v>
      </c>
      <c r="AC382">
        <v>-1</v>
      </c>
      <c r="AD382">
        <v>4</v>
      </c>
      <c r="AE382">
        <v>3</v>
      </c>
      <c r="AF382">
        <v>435</v>
      </c>
      <c r="AG382">
        <v>-1</v>
      </c>
      <c r="AH382">
        <v>-1</v>
      </c>
      <c r="AI382">
        <v>0</v>
      </c>
      <c r="AJ382">
        <v>1</v>
      </c>
      <c r="AK382" t="str">
        <f>VLOOKUP(AJ382, Lookups!$B$23:$C$28, 2, FALSE)</f>
        <v>Daylight</v>
      </c>
      <c r="AL382">
        <v>1</v>
      </c>
      <c r="AM382" t="str">
        <f>VLOOKUP(AL382, Lookups!$B$30:$C$39, 2, FALSE)</f>
        <v>Fine / Clear</v>
      </c>
      <c r="AN382">
        <v>1</v>
      </c>
      <c r="AO382" t="str">
        <f>VLOOKUP(AN382, Lookups!$B$41:$C$49, 2, FALSE)</f>
        <v>Dry</v>
      </c>
      <c r="AP382">
        <v>-1</v>
      </c>
      <c r="AQ382">
        <v>-1</v>
      </c>
      <c r="AR382">
        <v>0</v>
      </c>
      <c r="AS382">
        <v>2</v>
      </c>
      <c r="AT382">
        <v>3</v>
      </c>
      <c r="AU382">
        <v>1</v>
      </c>
      <c r="AV382" t="s">
        <v>190</v>
      </c>
      <c r="AW382">
        <v>3</v>
      </c>
      <c r="AX382">
        <v>1</v>
      </c>
      <c r="AY382">
        <v>0</v>
      </c>
      <c r="AZ382">
        <v>1</v>
      </c>
    </row>
    <row r="383" spans="1:52" x14ac:dyDescent="0.35">
      <c r="A383">
        <v>2025221623160</v>
      </c>
      <c r="B383">
        <v>2025</v>
      </c>
      <c r="C383">
        <v>221623160</v>
      </c>
      <c r="D383">
        <v>387426</v>
      </c>
      <c r="E383">
        <v>259333</v>
      </c>
      <c r="F383">
        <v>-2.18553</v>
      </c>
      <c r="G383">
        <v>52.232050000000001</v>
      </c>
      <c r="H383">
        <v>22</v>
      </c>
      <c r="I383">
        <v>3</v>
      </c>
      <c r="J383" t="str">
        <f>VLOOKUP(I383, Lookups!$B$1:$C$4, 2, FALSE)</f>
        <v>Slight</v>
      </c>
      <c r="K383">
        <v>2</v>
      </c>
      <c r="L383">
        <v>1</v>
      </c>
      <c r="M383" s="1">
        <v>45869</v>
      </c>
      <c r="N383">
        <v>5</v>
      </c>
      <c r="O383" t="str">
        <f>VLOOKUP(N383, Lookups!$B$6:$C$12, 2, FALSE)</f>
        <v>Thursday</v>
      </c>
      <c r="P383" s="2">
        <v>0.71111111111111114</v>
      </c>
      <c r="Q383">
        <v>-1</v>
      </c>
      <c r="R383" t="s">
        <v>54</v>
      </c>
      <c r="S383" t="s">
        <v>45</v>
      </c>
      <c r="T383" t="s">
        <v>45</v>
      </c>
      <c r="U383">
        <v>3</v>
      </c>
      <c r="V383" t="str">
        <f>VLOOKUP(U383, Lookups!$B$51:$C$57, 2, FALSE)</f>
        <v>A</v>
      </c>
      <c r="W383">
        <v>38</v>
      </c>
      <c r="X383" t="str">
        <f t="shared" si="51"/>
        <v>A38</v>
      </c>
      <c r="Y383">
        <v>6</v>
      </c>
      <c r="Z383" t="str">
        <f>VLOOKUP(Y383, Lookups!$B$14:$C$21, 2, FALSE)</f>
        <v>Single carriageway</v>
      </c>
      <c r="AA383">
        <v>40</v>
      </c>
      <c r="AB383">
        <v>-1</v>
      </c>
      <c r="AC383">
        <v>18</v>
      </c>
      <c r="AD383">
        <v>4</v>
      </c>
      <c r="AE383">
        <v>6</v>
      </c>
      <c r="AF383">
        <v>0</v>
      </c>
      <c r="AG383">
        <v>-1</v>
      </c>
      <c r="AH383">
        <v>-1</v>
      </c>
      <c r="AI383">
        <v>0</v>
      </c>
      <c r="AJ383">
        <v>1</v>
      </c>
      <c r="AK383" t="str">
        <f>VLOOKUP(AJ383, Lookups!$B$23:$C$28, 2, FALSE)</f>
        <v>Daylight</v>
      </c>
      <c r="AL383">
        <v>1</v>
      </c>
      <c r="AM383" t="str">
        <f>VLOOKUP(AL383, Lookups!$B$30:$C$39, 2, FALSE)</f>
        <v>Fine / Clear</v>
      </c>
      <c r="AN383">
        <v>1</v>
      </c>
      <c r="AO383" t="str">
        <f>VLOOKUP(AN383, Lookups!$B$41:$C$49, 2, FALSE)</f>
        <v>Dry</v>
      </c>
      <c r="AP383">
        <v>-1</v>
      </c>
      <c r="AQ383">
        <v>-1</v>
      </c>
      <c r="AR383">
        <v>0</v>
      </c>
      <c r="AS383">
        <v>2</v>
      </c>
      <c r="AT383">
        <v>3</v>
      </c>
      <c r="AU383">
        <v>2</v>
      </c>
      <c r="AV383" t="s">
        <v>254</v>
      </c>
      <c r="AW383">
        <v>3</v>
      </c>
      <c r="AX383">
        <v>1</v>
      </c>
      <c r="AY383">
        <v>0</v>
      </c>
      <c r="AZ383">
        <v>1</v>
      </c>
    </row>
    <row r="384" spans="1:52" x14ac:dyDescent="0.35">
      <c r="A384">
        <v>2025221685087</v>
      </c>
      <c r="B384">
        <v>2025</v>
      </c>
      <c r="C384">
        <v>221685087</v>
      </c>
      <c r="D384">
        <v>387845</v>
      </c>
      <c r="E384">
        <v>254212</v>
      </c>
      <c r="F384">
        <v>-2.1792099999999999</v>
      </c>
      <c r="G384">
        <v>52.186019999999999</v>
      </c>
      <c r="H384">
        <v>22</v>
      </c>
      <c r="I384">
        <v>3</v>
      </c>
      <c r="J384" t="str">
        <f>VLOOKUP(I384, Lookups!$B$1:$C$4, 2, FALSE)</f>
        <v>Slight</v>
      </c>
      <c r="K384">
        <v>2</v>
      </c>
      <c r="L384">
        <v>1</v>
      </c>
      <c r="M384" s="1">
        <v>46009</v>
      </c>
      <c r="N384">
        <v>5</v>
      </c>
      <c r="O384" t="str">
        <f>VLOOKUP(N384, Lookups!$B$6:$C$12, 2, FALSE)</f>
        <v>Thursday</v>
      </c>
      <c r="P384" s="2">
        <v>0.72916666666666663</v>
      </c>
      <c r="Q384">
        <v>-1</v>
      </c>
      <c r="R384" t="s">
        <v>60</v>
      </c>
      <c r="S384" t="s">
        <v>45</v>
      </c>
      <c r="T384" t="s">
        <v>45</v>
      </c>
      <c r="U384">
        <v>6</v>
      </c>
      <c r="V384" t="str">
        <f>VLOOKUP(U384, Lookups!$B$51:$C$57, 2, FALSE)</f>
        <v>Unclassified</v>
      </c>
      <c r="W384">
        <v>0</v>
      </c>
      <c r="X384" t="s">
        <v>362</v>
      </c>
      <c r="Y384">
        <v>6</v>
      </c>
      <c r="Z384" t="str">
        <f>VLOOKUP(Y384, Lookups!$B$14:$C$21, 2, FALSE)</f>
        <v>Single carriageway</v>
      </c>
      <c r="AA384">
        <v>30</v>
      </c>
      <c r="AB384">
        <v>-1</v>
      </c>
      <c r="AC384">
        <v>19</v>
      </c>
      <c r="AD384">
        <v>4</v>
      </c>
      <c r="AE384">
        <v>6</v>
      </c>
      <c r="AF384">
        <v>0</v>
      </c>
      <c r="AG384">
        <v>-1</v>
      </c>
      <c r="AH384">
        <v>-1</v>
      </c>
      <c r="AI384">
        <v>0</v>
      </c>
      <c r="AJ384">
        <v>4</v>
      </c>
      <c r="AK384" t="str">
        <f>VLOOKUP(AJ384, Lookups!$B$23:$C$28, 2, FALSE)</f>
        <v>Darkness (Lit)</v>
      </c>
      <c r="AL384">
        <v>2</v>
      </c>
      <c r="AM384" t="str">
        <f>VLOOKUP(AL384, Lookups!$B$30:$C$39, 2, FALSE)</f>
        <v>Rain</v>
      </c>
      <c r="AN384">
        <v>2</v>
      </c>
      <c r="AO384" t="str">
        <f>VLOOKUP(AN384, Lookups!$B$41:$C$49, 2, FALSE)</f>
        <v>Wet / damp</v>
      </c>
      <c r="AP384">
        <v>-1</v>
      </c>
      <c r="AQ384">
        <v>-1</v>
      </c>
      <c r="AR384">
        <v>0</v>
      </c>
      <c r="AS384">
        <v>1</v>
      </c>
      <c r="AT384">
        <v>3</v>
      </c>
      <c r="AU384">
        <v>2</v>
      </c>
      <c r="AV384" t="s">
        <v>255</v>
      </c>
      <c r="AW384">
        <v>3</v>
      </c>
      <c r="AX384">
        <v>1</v>
      </c>
      <c r="AY384">
        <v>0</v>
      </c>
      <c r="AZ384">
        <v>1</v>
      </c>
    </row>
    <row r="385" spans="1:52" x14ac:dyDescent="0.35">
      <c r="A385">
        <v>2025221574323</v>
      </c>
      <c r="B385">
        <v>2025</v>
      </c>
      <c r="C385">
        <v>221574323</v>
      </c>
      <c r="D385">
        <v>377656</v>
      </c>
      <c r="E385">
        <v>235011</v>
      </c>
      <c r="F385">
        <v>-2.3269700000000002</v>
      </c>
      <c r="G385">
        <v>52.013069999999999</v>
      </c>
      <c r="H385">
        <v>22</v>
      </c>
      <c r="I385">
        <v>2</v>
      </c>
      <c r="J385" t="str">
        <f>VLOOKUP(I385, Lookups!$B$1:$C$4, 2, FALSE)</f>
        <v>Serious</v>
      </c>
      <c r="K385">
        <v>1</v>
      </c>
      <c r="L385">
        <v>1</v>
      </c>
      <c r="M385" s="1">
        <v>45752</v>
      </c>
      <c r="N385">
        <v>7</v>
      </c>
      <c r="O385" t="str">
        <f>VLOOKUP(N385, Lookups!$B$6:$C$12, 2, FALSE)</f>
        <v>Saturday</v>
      </c>
      <c r="P385" s="2">
        <v>0.58194444444444449</v>
      </c>
      <c r="Q385">
        <v>-1</v>
      </c>
      <c r="R385" t="s">
        <v>49</v>
      </c>
      <c r="S385" t="s">
        <v>45</v>
      </c>
      <c r="T385" t="s">
        <v>45</v>
      </c>
      <c r="U385">
        <v>4</v>
      </c>
      <c r="V385" t="str">
        <f>VLOOKUP(U385, Lookups!$B$51:$C$57, 2, FALSE)</f>
        <v>B</v>
      </c>
      <c r="W385">
        <v>4208</v>
      </c>
      <c r="X385" t="str">
        <f>V385&amp;W385</f>
        <v>B4208</v>
      </c>
      <c r="Y385">
        <v>6</v>
      </c>
      <c r="Z385" t="str">
        <f>VLOOKUP(Y385, Lookups!$B$14:$C$21, 2, FALSE)</f>
        <v>Single carriageway</v>
      </c>
      <c r="AA385">
        <v>60</v>
      </c>
      <c r="AB385">
        <v>-1</v>
      </c>
      <c r="AC385">
        <v>0</v>
      </c>
      <c r="AD385">
        <v>-1</v>
      </c>
      <c r="AE385">
        <v>6</v>
      </c>
      <c r="AF385">
        <v>0</v>
      </c>
      <c r="AG385">
        <v>-1</v>
      </c>
      <c r="AH385">
        <v>-1</v>
      </c>
      <c r="AI385">
        <v>0</v>
      </c>
      <c r="AJ385">
        <v>1</v>
      </c>
      <c r="AK385" t="str">
        <f>VLOOKUP(AJ385, Lookups!$B$23:$C$28, 2, FALSE)</f>
        <v>Daylight</v>
      </c>
      <c r="AL385">
        <v>1</v>
      </c>
      <c r="AM385" t="str">
        <f>VLOOKUP(AL385, Lookups!$B$30:$C$39, 2, FALSE)</f>
        <v>Fine / Clear</v>
      </c>
      <c r="AN385">
        <v>1</v>
      </c>
      <c r="AO385" t="str">
        <f>VLOOKUP(AN385, Lookups!$B$41:$C$49, 2, FALSE)</f>
        <v>Dry</v>
      </c>
      <c r="AP385">
        <v>-1</v>
      </c>
      <c r="AQ385">
        <v>-1</v>
      </c>
      <c r="AR385">
        <v>0</v>
      </c>
      <c r="AS385">
        <v>2</v>
      </c>
      <c r="AT385">
        <v>1</v>
      </c>
      <c r="AU385">
        <v>2</v>
      </c>
      <c r="AV385" t="s">
        <v>82</v>
      </c>
      <c r="AW385">
        <v>7</v>
      </c>
      <c r="AX385">
        <v>1</v>
      </c>
      <c r="AY385">
        <v>1</v>
      </c>
      <c r="AZ385">
        <v>0</v>
      </c>
    </row>
    <row r="386" spans="1:52" x14ac:dyDescent="0.35">
      <c r="A386">
        <v>2025221562987</v>
      </c>
      <c r="B386">
        <v>2025</v>
      </c>
      <c r="C386">
        <v>221562987</v>
      </c>
      <c r="D386">
        <v>406159</v>
      </c>
      <c r="E386">
        <v>268378</v>
      </c>
      <c r="F386">
        <v>-1.9110799999999999</v>
      </c>
      <c r="G386">
        <v>52.313479999999998</v>
      </c>
      <c r="H386">
        <v>22</v>
      </c>
      <c r="I386">
        <v>2</v>
      </c>
      <c r="J386" t="str">
        <f>VLOOKUP(I386, Lookups!$B$1:$C$4, 2, FALSE)</f>
        <v>Serious</v>
      </c>
      <c r="K386">
        <v>2</v>
      </c>
      <c r="L386">
        <v>1</v>
      </c>
      <c r="M386" s="1">
        <v>45725</v>
      </c>
      <c r="N386">
        <v>1</v>
      </c>
      <c r="O386" t="str">
        <f>VLOOKUP(N386, Lookups!$B$6:$C$12, 2, FALSE)</f>
        <v>Sunday</v>
      </c>
      <c r="P386" s="2">
        <v>0.71875</v>
      </c>
      <c r="Q386">
        <v>-1</v>
      </c>
      <c r="R386" t="s">
        <v>69</v>
      </c>
      <c r="S386" t="s">
        <v>45</v>
      </c>
      <c r="T386" t="s">
        <v>45</v>
      </c>
      <c r="U386">
        <v>6</v>
      </c>
      <c r="V386" t="str">
        <f>VLOOKUP(U386, Lookups!$B$51:$C$57, 2, FALSE)</f>
        <v>Unclassified</v>
      </c>
      <c r="W386">
        <v>0</v>
      </c>
      <c r="X386" t="s">
        <v>362</v>
      </c>
      <c r="Y386">
        <v>6</v>
      </c>
      <c r="Z386" t="str">
        <f>VLOOKUP(Y386, Lookups!$B$14:$C$21, 2, FALSE)</f>
        <v>Single carriageway</v>
      </c>
      <c r="AA386">
        <v>30</v>
      </c>
      <c r="AB386">
        <v>-1</v>
      </c>
      <c r="AC386">
        <v>0</v>
      </c>
      <c r="AD386">
        <v>-1</v>
      </c>
      <c r="AE386">
        <v>0</v>
      </c>
      <c r="AF386">
        <v>-1</v>
      </c>
      <c r="AG386">
        <v>-1</v>
      </c>
      <c r="AH386">
        <v>-1</v>
      </c>
      <c r="AI386">
        <v>0</v>
      </c>
      <c r="AJ386">
        <v>1</v>
      </c>
      <c r="AK386" t="str">
        <f>VLOOKUP(AJ386, Lookups!$B$23:$C$28, 2, FALSE)</f>
        <v>Daylight</v>
      </c>
      <c r="AL386">
        <v>1</v>
      </c>
      <c r="AM386" t="str">
        <f>VLOOKUP(AL386, Lookups!$B$30:$C$39, 2, FALSE)</f>
        <v>Fine / Clear</v>
      </c>
      <c r="AN386">
        <v>1</v>
      </c>
      <c r="AO386" t="str">
        <f>VLOOKUP(AN386, Lookups!$B$41:$C$49, 2, FALSE)</f>
        <v>Dry</v>
      </c>
      <c r="AP386">
        <v>-1</v>
      </c>
      <c r="AQ386">
        <v>-1</v>
      </c>
      <c r="AR386">
        <v>0</v>
      </c>
      <c r="AS386">
        <v>1</v>
      </c>
      <c r="AT386">
        <v>3</v>
      </c>
      <c r="AU386">
        <v>2</v>
      </c>
      <c r="AV386" t="s">
        <v>256</v>
      </c>
      <c r="AW386">
        <v>7</v>
      </c>
      <c r="AX386">
        <v>1</v>
      </c>
      <c r="AY386">
        <v>1</v>
      </c>
      <c r="AZ386">
        <v>0</v>
      </c>
    </row>
    <row r="387" spans="1:52" x14ac:dyDescent="0.35">
      <c r="A387">
        <v>2025221586786</v>
      </c>
      <c r="B387">
        <v>2025</v>
      </c>
      <c r="C387">
        <v>221586786</v>
      </c>
      <c r="D387">
        <v>389482</v>
      </c>
      <c r="E387">
        <v>247939</v>
      </c>
      <c r="F387">
        <v>-2.1550699999999998</v>
      </c>
      <c r="G387">
        <v>52.129649999999998</v>
      </c>
      <c r="H387">
        <v>22</v>
      </c>
      <c r="I387">
        <v>3</v>
      </c>
      <c r="J387" t="str">
        <f>VLOOKUP(I387, Lookups!$B$1:$C$4, 2, FALSE)</f>
        <v>Slight</v>
      </c>
      <c r="K387">
        <v>1</v>
      </c>
      <c r="L387">
        <v>1</v>
      </c>
      <c r="M387" s="1">
        <v>45784</v>
      </c>
      <c r="N387">
        <v>4</v>
      </c>
      <c r="O387" t="str">
        <f>VLOOKUP(N387, Lookups!$B$6:$C$12, 2, FALSE)</f>
        <v>Wednesday</v>
      </c>
      <c r="P387" s="2">
        <v>0.52777777777777779</v>
      </c>
      <c r="Q387">
        <v>-1</v>
      </c>
      <c r="R387" t="s">
        <v>54</v>
      </c>
      <c r="S387" t="s">
        <v>45</v>
      </c>
      <c r="T387" t="s">
        <v>45</v>
      </c>
      <c r="U387">
        <v>6</v>
      </c>
      <c r="V387" t="str">
        <f>VLOOKUP(U387, Lookups!$B$51:$C$57, 2, FALSE)</f>
        <v>Unclassified</v>
      </c>
      <c r="W387">
        <v>0</v>
      </c>
      <c r="X387" t="s">
        <v>362</v>
      </c>
      <c r="Y387">
        <v>6</v>
      </c>
      <c r="Z387" t="str">
        <f>VLOOKUP(Y387, Lookups!$B$14:$C$21, 2, FALSE)</f>
        <v>Single carriageway</v>
      </c>
      <c r="AA387">
        <v>60</v>
      </c>
      <c r="AB387">
        <v>-1</v>
      </c>
      <c r="AC387">
        <v>0</v>
      </c>
      <c r="AD387">
        <v>-1</v>
      </c>
      <c r="AE387">
        <v>0</v>
      </c>
      <c r="AF387">
        <v>-1</v>
      </c>
      <c r="AG387">
        <v>-1</v>
      </c>
      <c r="AH387">
        <v>-1</v>
      </c>
      <c r="AI387">
        <v>0</v>
      </c>
      <c r="AJ387">
        <v>1</v>
      </c>
      <c r="AK387" t="str">
        <f>VLOOKUP(AJ387, Lookups!$B$23:$C$28, 2, FALSE)</f>
        <v>Daylight</v>
      </c>
      <c r="AL387">
        <v>1</v>
      </c>
      <c r="AM387" t="str">
        <f>VLOOKUP(AL387, Lookups!$B$30:$C$39, 2, FALSE)</f>
        <v>Fine / Clear</v>
      </c>
      <c r="AN387">
        <v>1</v>
      </c>
      <c r="AO387" t="str">
        <f>VLOOKUP(AN387, Lookups!$B$41:$C$49, 2, FALSE)</f>
        <v>Dry</v>
      </c>
      <c r="AP387">
        <v>-1</v>
      </c>
      <c r="AQ387">
        <v>-1</v>
      </c>
      <c r="AR387">
        <v>0</v>
      </c>
      <c r="AS387">
        <v>2</v>
      </c>
      <c r="AT387">
        <v>1</v>
      </c>
      <c r="AU387">
        <v>2</v>
      </c>
      <c r="AV387" t="s">
        <v>210</v>
      </c>
      <c r="AW387">
        <v>3</v>
      </c>
      <c r="AX387">
        <v>1</v>
      </c>
      <c r="AY387">
        <v>0</v>
      </c>
      <c r="AZ387">
        <v>1</v>
      </c>
    </row>
    <row r="388" spans="1:52" x14ac:dyDescent="0.35">
      <c r="A388">
        <v>2025221612795</v>
      </c>
      <c r="B388">
        <v>2025</v>
      </c>
      <c r="C388">
        <v>221612795</v>
      </c>
      <c r="D388">
        <v>382157</v>
      </c>
      <c r="E388">
        <v>279107</v>
      </c>
      <c r="F388">
        <v>-2.2637299999999998</v>
      </c>
      <c r="G388">
        <v>52.409669999999998</v>
      </c>
      <c r="H388">
        <v>22</v>
      </c>
      <c r="I388">
        <v>3</v>
      </c>
      <c r="J388" t="str">
        <f>VLOOKUP(I388, Lookups!$B$1:$C$4, 2, FALSE)</f>
        <v>Slight</v>
      </c>
      <c r="K388">
        <v>1</v>
      </c>
      <c r="L388">
        <v>1</v>
      </c>
      <c r="M388" s="1">
        <v>45845</v>
      </c>
      <c r="N388">
        <v>2</v>
      </c>
      <c r="O388" t="str">
        <f>VLOOKUP(N388, Lookups!$B$6:$C$12, 2, FALSE)</f>
        <v>Monday</v>
      </c>
      <c r="P388" s="2">
        <v>0.65625</v>
      </c>
      <c r="Q388">
        <v>-1</v>
      </c>
      <c r="R388" t="s">
        <v>44</v>
      </c>
      <c r="S388" t="s">
        <v>45</v>
      </c>
      <c r="T388" t="s">
        <v>45</v>
      </c>
      <c r="U388">
        <v>6</v>
      </c>
      <c r="V388" t="str">
        <f>VLOOKUP(U388, Lookups!$B$51:$C$57, 2, FALSE)</f>
        <v>Unclassified</v>
      </c>
      <c r="W388">
        <v>0</v>
      </c>
      <c r="X388" t="s">
        <v>362</v>
      </c>
      <c r="Y388">
        <v>6</v>
      </c>
      <c r="Z388" t="str">
        <f>VLOOKUP(Y388, Lookups!$B$14:$C$21, 2, FALSE)</f>
        <v>Single carriageway</v>
      </c>
      <c r="AA388">
        <v>30</v>
      </c>
      <c r="AB388">
        <v>-1</v>
      </c>
      <c r="AC388">
        <v>0</v>
      </c>
      <c r="AD388">
        <v>-1</v>
      </c>
      <c r="AE388">
        <v>6</v>
      </c>
      <c r="AF388">
        <v>0</v>
      </c>
      <c r="AG388">
        <v>-1</v>
      </c>
      <c r="AH388">
        <v>-1</v>
      </c>
      <c r="AI388">
        <v>0</v>
      </c>
      <c r="AJ388">
        <v>1</v>
      </c>
      <c r="AK388" t="str">
        <f>VLOOKUP(AJ388, Lookups!$B$23:$C$28, 2, FALSE)</f>
        <v>Daylight</v>
      </c>
      <c r="AL388">
        <v>1</v>
      </c>
      <c r="AM388" t="str">
        <f>VLOOKUP(AL388, Lookups!$B$30:$C$39, 2, FALSE)</f>
        <v>Fine / Clear</v>
      </c>
      <c r="AN388">
        <v>1</v>
      </c>
      <c r="AO388" t="str">
        <f>VLOOKUP(AN388, Lookups!$B$41:$C$49, 2, FALSE)</f>
        <v>Dry</v>
      </c>
      <c r="AP388">
        <v>-1</v>
      </c>
      <c r="AQ388">
        <v>-1</v>
      </c>
      <c r="AR388">
        <v>0</v>
      </c>
      <c r="AS388">
        <v>1</v>
      </c>
      <c r="AT388">
        <v>3</v>
      </c>
      <c r="AU388">
        <v>2</v>
      </c>
      <c r="AV388" t="s">
        <v>175</v>
      </c>
      <c r="AW388">
        <v>3</v>
      </c>
      <c r="AX388">
        <v>1</v>
      </c>
      <c r="AY388">
        <v>0</v>
      </c>
      <c r="AZ388">
        <v>1</v>
      </c>
    </row>
    <row r="389" spans="1:52" x14ac:dyDescent="0.35">
      <c r="A389">
        <v>2025221622823</v>
      </c>
      <c r="B389">
        <v>2025</v>
      </c>
      <c r="C389">
        <v>221622823</v>
      </c>
      <c r="D389">
        <v>384476</v>
      </c>
      <c r="E389">
        <v>260809</v>
      </c>
      <c r="F389">
        <v>-2.22879</v>
      </c>
      <c r="G389">
        <v>52.245240000000003</v>
      </c>
      <c r="H389">
        <v>22</v>
      </c>
      <c r="I389">
        <v>2</v>
      </c>
      <c r="J389" t="str">
        <f>VLOOKUP(I389, Lookups!$B$1:$C$4, 2, FALSE)</f>
        <v>Serious</v>
      </c>
      <c r="K389">
        <v>2</v>
      </c>
      <c r="L389">
        <v>1</v>
      </c>
      <c r="M389" s="1">
        <v>45868</v>
      </c>
      <c r="N389">
        <v>4</v>
      </c>
      <c r="O389" t="str">
        <f>VLOOKUP(N389, Lookups!$B$6:$C$12, 2, FALSE)</f>
        <v>Wednesday</v>
      </c>
      <c r="P389" s="2">
        <v>0.47222222222222221</v>
      </c>
      <c r="Q389">
        <v>-1</v>
      </c>
      <c r="R389" t="s">
        <v>54</v>
      </c>
      <c r="S389" t="s">
        <v>45</v>
      </c>
      <c r="T389" t="s">
        <v>45</v>
      </c>
      <c r="U389">
        <v>3</v>
      </c>
      <c r="V389" t="str">
        <f>VLOOKUP(U389, Lookups!$B$51:$C$57, 2, FALSE)</f>
        <v>A</v>
      </c>
      <c r="W389">
        <v>449</v>
      </c>
      <c r="X389" t="str">
        <f t="shared" ref="X389:X393" si="52">V389&amp;W389</f>
        <v>A449</v>
      </c>
      <c r="Y389">
        <v>3</v>
      </c>
      <c r="Z389" t="str">
        <f>VLOOKUP(Y389, Lookups!$B$14:$C$21, 2, FALSE)</f>
        <v>Dual carriageway</v>
      </c>
      <c r="AA389">
        <v>70</v>
      </c>
      <c r="AB389">
        <v>-1</v>
      </c>
      <c r="AC389">
        <v>19</v>
      </c>
      <c r="AD389">
        <v>4</v>
      </c>
      <c r="AE389">
        <v>6</v>
      </c>
      <c r="AF389">
        <v>0</v>
      </c>
      <c r="AG389">
        <v>-1</v>
      </c>
      <c r="AH389">
        <v>-1</v>
      </c>
      <c r="AI389">
        <v>0</v>
      </c>
      <c r="AJ389">
        <v>1</v>
      </c>
      <c r="AK389" t="str">
        <f>VLOOKUP(AJ389, Lookups!$B$23:$C$28, 2, FALSE)</f>
        <v>Daylight</v>
      </c>
      <c r="AL389">
        <v>1</v>
      </c>
      <c r="AM389" t="str">
        <f>VLOOKUP(AL389, Lookups!$B$30:$C$39, 2, FALSE)</f>
        <v>Fine / Clear</v>
      </c>
      <c r="AN389">
        <v>1</v>
      </c>
      <c r="AO389" t="str">
        <f>VLOOKUP(AN389, Lookups!$B$41:$C$49, 2, FALSE)</f>
        <v>Dry</v>
      </c>
      <c r="AP389">
        <v>-1</v>
      </c>
      <c r="AQ389">
        <v>-1</v>
      </c>
      <c r="AR389">
        <v>0</v>
      </c>
      <c r="AS389">
        <v>2</v>
      </c>
      <c r="AT389">
        <v>1</v>
      </c>
      <c r="AU389">
        <v>2</v>
      </c>
      <c r="AV389" t="s">
        <v>124</v>
      </c>
      <c r="AW389">
        <v>7</v>
      </c>
      <c r="AX389">
        <v>1</v>
      </c>
      <c r="AY389">
        <v>1</v>
      </c>
      <c r="AZ389">
        <v>0</v>
      </c>
    </row>
    <row r="390" spans="1:52" x14ac:dyDescent="0.35">
      <c r="A390">
        <v>2025221626810</v>
      </c>
      <c r="B390">
        <v>2025</v>
      </c>
      <c r="C390">
        <v>221626810</v>
      </c>
      <c r="D390">
        <v>386629</v>
      </c>
      <c r="E390">
        <v>248948</v>
      </c>
      <c r="F390">
        <v>-2.19678</v>
      </c>
      <c r="G390">
        <v>52.138660000000002</v>
      </c>
      <c r="H390">
        <v>22</v>
      </c>
      <c r="I390">
        <v>2</v>
      </c>
      <c r="J390" t="str">
        <f>VLOOKUP(I390, Lookups!$B$1:$C$4, 2, FALSE)</f>
        <v>Serious</v>
      </c>
      <c r="K390">
        <v>2</v>
      </c>
      <c r="L390">
        <v>1</v>
      </c>
      <c r="M390" s="1">
        <v>45877</v>
      </c>
      <c r="N390">
        <v>6</v>
      </c>
      <c r="O390" t="str">
        <f>VLOOKUP(N390, Lookups!$B$6:$C$12, 2, FALSE)</f>
        <v>Friday</v>
      </c>
      <c r="P390" s="2">
        <v>0.55277777777777781</v>
      </c>
      <c r="Q390">
        <v>-1</v>
      </c>
      <c r="R390" t="s">
        <v>49</v>
      </c>
      <c r="S390" t="s">
        <v>45</v>
      </c>
      <c r="T390" t="s">
        <v>45</v>
      </c>
      <c r="U390">
        <v>1</v>
      </c>
      <c r="V390" t="str">
        <f>VLOOKUP(U390, Lookups!$B$51:$C$57, 2, FALSE)</f>
        <v>M</v>
      </c>
      <c r="W390">
        <v>5</v>
      </c>
      <c r="X390" t="str">
        <f t="shared" si="52"/>
        <v>M5</v>
      </c>
      <c r="Y390">
        <v>3</v>
      </c>
      <c r="Z390" t="str">
        <f>VLOOKUP(Y390, Lookups!$B$14:$C$21, 2, FALSE)</f>
        <v>Dual carriageway</v>
      </c>
      <c r="AA390">
        <v>70</v>
      </c>
      <c r="AB390">
        <v>-1</v>
      </c>
      <c r="AC390">
        <v>0</v>
      </c>
      <c r="AD390">
        <v>-1</v>
      </c>
      <c r="AE390">
        <v>0</v>
      </c>
      <c r="AF390">
        <v>-1</v>
      </c>
      <c r="AG390">
        <v>-1</v>
      </c>
      <c r="AH390">
        <v>-1</v>
      </c>
      <c r="AI390">
        <v>0</v>
      </c>
      <c r="AJ390">
        <v>1</v>
      </c>
      <c r="AK390" t="str">
        <f>VLOOKUP(AJ390, Lookups!$B$23:$C$28, 2, FALSE)</f>
        <v>Daylight</v>
      </c>
      <c r="AL390">
        <v>1</v>
      </c>
      <c r="AM390" t="str">
        <f>VLOOKUP(AL390, Lookups!$B$30:$C$39, 2, FALSE)</f>
        <v>Fine / Clear</v>
      </c>
      <c r="AN390">
        <v>1</v>
      </c>
      <c r="AO390" t="str">
        <f>VLOOKUP(AN390, Lookups!$B$41:$C$49, 2, FALSE)</f>
        <v>Dry</v>
      </c>
      <c r="AP390">
        <v>-1</v>
      </c>
      <c r="AQ390">
        <v>-1</v>
      </c>
      <c r="AR390">
        <v>0</v>
      </c>
      <c r="AS390">
        <v>2</v>
      </c>
      <c r="AT390">
        <v>1</v>
      </c>
      <c r="AU390">
        <v>1</v>
      </c>
      <c r="AV390" t="s">
        <v>50</v>
      </c>
      <c r="AW390">
        <v>6</v>
      </c>
      <c r="AX390">
        <v>1</v>
      </c>
      <c r="AY390">
        <v>1</v>
      </c>
      <c r="AZ390">
        <v>0</v>
      </c>
    </row>
    <row r="391" spans="1:52" x14ac:dyDescent="0.35">
      <c r="A391">
        <v>2025221561366</v>
      </c>
      <c r="B391">
        <v>2025</v>
      </c>
      <c r="C391">
        <v>221561366</v>
      </c>
      <c r="D391">
        <v>388801</v>
      </c>
      <c r="E391">
        <v>257046</v>
      </c>
      <c r="F391">
        <v>-2.1653199999999999</v>
      </c>
      <c r="G391">
        <v>52.21152</v>
      </c>
      <c r="H391">
        <v>22</v>
      </c>
      <c r="I391">
        <v>3</v>
      </c>
      <c r="J391" t="str">
        <f>VLOOKUP(I391, Lookups!$B$1:$C$4, 2, FALSE)</f>
        <v>Slight</v>
      </c>
      <c r="K391">
        <v>3</v>
      </c>
      <c r="L391">
        <v>2</v>
      </c>
      <c r="M391" s="1">
        <v>45721</v>
      </c>
      <c r="N391">
        <v>4</v>
      </c>
      <c r="O391" t="str">
        <f>VLOOKUP(N391, Lookups!$B$6:$C$12, 2, FALSE)</f>
        <v>Wednesday</v>
      </c>
      <c r="P391" s="2">
        <v>0.33333333333333331</v>
      </c>
      <c r="Q391">
        <v>-1</v>
      </c>
      <c r="R391" t="s">
        <v>60</v>
      </c>
      <c r="S391" t="s">
        <v>45</v>
      </c>
      <c r="T391" t="s">
        <v>45</v>
      </c>
      <c r="U391">
        <v>4</v>
      </c>
      <c r="V391" t="str">
        <f>VLOOKUP(U391, Lookups!$B$51:$C$57, 2, FALSE)</f>
        <v>B</v>
      </c>
      <c r="W391">
        <v>4639</v>
      </c>
      <c r="X391" t="str">
        <f t="shared" si="52"/>
        <v>B4639</v>
      </c>
      <c r="Y391">
        <v>6</v>
      </c>
      <c r="Z391" t="str">
        <f>VLOOKUP(Y391, Lookups!$B$14:$C$21, 2, FALSE)</f>
        <v>Single carriageway</v>
      </c>
      <c r="AA391">
        <v>50</v>
      </c>
      <c r="AB391">
        <v>-1</v>
      </c>
      <c r="AC391">
        <v>0</v>
      </c>
      <c r="AD391">
        <v>-1</v>
      </c>
      <c r="AE391">
        <v>0</v>
      </c>
      <c r="AF391">
        <v>-1</v>
      </c>
      <c r="AG391">
        <v>-1</v>
      </c>
      <c r="AH391">
        <v>-1</v>
      </c>
      <c r="AI391">
        <v>0</v>
      </c>
      <c r="AJ391">
        <v>1</v>
      </c>
      <c r="AK391" t="str">
        <f>VLOOKUP(AJ391, Lookups!$B$23:$C$28, 2, FALSE)</f>
        <v>Daylight</v>
      </c>
      <c r="AL391">
        <v>1</v>
      </c>
      <c r="AM391" t="str">
        <f>VLOOKUP(AL391, Lookups!$B$30:$C$39, 2, FALSE)</f>
        <v>Fine / Clear</v>
      </c>
      <c r="AN391">
        <v>1</v>
      </c>
      <c r="AO391" t="str">
        <f>VLOOKUP(AN391, Lookups!$B$41:$C$49, 2, FALSE)</f>
        <v>Dry</v>
      </c>
      <c r="AP391">
        <v>-1</v>
      </c>
      <c r="AQ391">
        <v>-1</v>
      </c>
      <c r="AR391">
        <v>0</v>
      </c>
      <c r="AS391">
        <v>2</v>
      </c>
      <c r="AT391">
        <v>1</v>
      </c>
      <c r="AU391">
        <v>2</v>
      </c>
      <c r="AV391" t="s">
        <v>249</v>
      </c>
      <c r="AW391">
        <v>3</v>
      </c>
      <c r="AX391">
        <v>1</v>
      </c>
      <c r="AY391">
        <v>0</v>
      </c>
      <c r="AZ391">
        <v>1</v>
      </c>
    </row>
    <row r="392" spans="1:52" x14ac:dyDescent="0.35">
      <c r="A392">
        <v>2025221602535</v>
      </c>
      <c r="B392">
        <v>2025</v>
      </c>
      <c r="C392">
        <v>221602535</v>
      </c>
      <c r="D392">
        <v>390889</v>
      </c>
      <c r="E392">
        <v>238798</v>
      </c>
      <c r="F392">
        <v>-2.1342599999999998</v>
      </c>
      <c r="G392">
        <v>52.047499999999999</v>
      </c>
      <c r="H392">
        <v>22</v>
      </c>
      <c r="I392">
        <v>2</v>
      </c>
      <c r="J392" t="str">
        <f>VLOOKUP(I392, Lookups!$B$1:$C$4, 2, FALSE)</f>
        <v>Serious</v>
      </c>
      <c r="K392">
        <v>2</v>
      </c>
      <c r="L392">
        <v>2</v>
      </c>
      <c r="M392" s="1">
        <v>45818</v>
      </c>
      <c r="N392">
        <v>3</v>
      </c>
      <c r="O392" t="str">
        <f>VLOOKUP(N392, Lookups!$B$6:$C$12, 2, FALSE)</f>
        <v>Tuesday</v>
      </c>
      <c r="P392" s="2">
        <v>0.54305555555555551</v>
      </c>
      <c r="Q392">
        <v>-1</v>
      </c>
      <c r="R392" t="s">
        <v>54</v>
      </c>
      <c r="S392" t="s">
        <v>45</v>
      </c>
      <c r="T392" t="s">
        <v>45</v>
      </c>
      <c r="U392">
        <v>1</v>
      </c>
      <c r="V392" t="str">
        <f>VLOOKUP(U392, Lookups!$B$51:$C$57, 2, FALSE)</f>
        <v>M</v>
      </c>
      <c r="W392">
        <v>50</v>
      </c>
      <c r="X392" t="str">
        <f t="shared" si="52"/>
        <v>M50</v>
      </c>
      <c r="Y392">
        <v>1</v>
      </c>
      <c r="Z392" t="str">
        <f>VLOOKUP(Y392, Lookups!$B$14:$C$21, 2, FALSE)</f>
        <v>Roundabout</v>
      </c>
      <c r="AA392">
        <v>70</v>
      </c>
      <c r="AB392">
        <v>-1</v>
      </c>
      <c r="AC392">
        <v>-1</v>
      </c>
      <c r="AD392">
        <v>4</v>
      </c>
      <c r="AE392">
        <v>1</v>
      </c>
      <c r="AF392">
        <v>50</v>
      </c>
      <c r="AG392">
        <v>-1</v>
      </c>
      <c r="AH392">
        <v>-1</v>
      </c>
      <c r="AI392">
        <v>0</v>
      </c>
      <c r="AJ392">
        <v>1</v>
      </c>
      <c r="AK392" t="str">
        <f>VLOOKUP(AJ392, Lookups!$B$23:$C$28, 2, FALSE)</f>
        <v>Daylight</v>
      </c>
      <c r="AL392">
        <v>1</v>
      </c>
      <c r="AM392" t="str">
        <f>VLOOKUP(AL392, Lookups!$B$30:$C$39, 2, FALSE)</f>
        <v>Fine / Clear</v>
      </c>
      <c r="AN392">
        <v>1</v>
      </c>
      <c r="AO392" t="str">
        <f>VLOOKUP(AN392, Lookups!$B$41:$C$49, 2, FALSE)</f>
        <v>Dry</v>
      </c>
      <c r="AP392">
        <v>-1</v>
      </c>
      <c r="AQ392">
        <v>-1</v>
      </c>
      <c r="AR392">
        <v>0</v>
      </c>
      <c r="AS392">
        <v>2</v>
      </c>
      <c r="AT392">
        <v>1</v>
      </c>
      <c r="AU392">
        <v>1</v>
      </c>
      <c r="AV392" t="s">
        <v>86</v>
      </c>
      <c r="AW392">
        <v>6</v>
      </c>
      <c r="AX392">
        <v>1</v>
      </c>
      <c r="AY392">
        <v>1</v>
      </c>
      <c r="AZ392">
        <v>0</v>
      </c>
    </row>
    <row r="393" spans="1:52" x14ac:dyDescent="0.35">
      <c r="A393">
        <v>2025221660122</v>
      </c>
      <c r="B393">
        <v>2025</v>
      </c>
      <c r="C393">
        <v>221660122</v>
      </c>
      <c r="D393">
        <v>386835</v>
      </c>
      <c r="E393">
        <v>274325</v>
      </c>
      <c r="F393">
        <v>-2.1947700000000001</v>
      </c>
      <c r="G393">
        <v>52.366810000000001</v>
      </c>
      <c r="H393">
        <v>22</v>
      </c>
      <c r="I393">
        <v>2</v>
      </c>
      <c r="J393" t="str">
        <f>VLOOKUP(I393, Lookups!$B$1:$C$4, 2, FALSE)</f>
        <v>Serious</v>
      </c>
      <c r="K393">
        <v>1</v>
      </c>
      <c r="L393">
        <v>1</v>
      </c>
      <c r="M393" s="1">
        <v>45954</v>
      </c>
      <c r="N393">
        <v>6</v>
      </c>
      <c r="O393" t="str">
        <f>VLOOKUP(N393, Lookups!$B$6:$C$12, 2, FALSE)</f>
        <v>Friday</v>
      </c>
      <c r="P393" s="2">
        <v>0.2013888888888889</v>
      </c>
      <c r="Q393">
        <v>-1</v>
      </c>
      <c r="R393" t="s">
        <v>44</v>
      </c>
      <c r="S393" t="s">
        <v>45</v>
      </c>
      <c r="T393" t="s">
        <v>45</v>
      </c>
      <c r="U393">
        <v>3</v>
      </c>
      <c r="V393" t="str">
        <f>VLOOKUP(U393, Lookups!$B$51:$C$57, 2, FALSE)</f>
        <v>A</v>
      </c>
      <c r="W393">
        <v>448</v>
      </c>
      <c r="X393" t="str">
        <f t="shared" si="52"/>
        <v>A448</v>
      </c>
      <c r="Y393">
        <v>6</v>
      </c>
      <c r="Z393" t="str">
        <f>VLOOKUP(Y393, Lookups!$B$14:$C$21, 2, FALSE)</f>
        <v>Single carriageway</v>
      </c>
      <c r="AA393">
        <v>50</v>
      </c>
      <c r="AB393">
        <v>-1</v>
      </c>
      <c r="AC393">
        <v>0</v>
      </c>
      <c r="AD393">
        <v>-1</v>
      </c>
      <c r="AE393">
        <v>3</v>
      </c>
      <c r="AF393">
        <v>448</v>
      </c>
      <c r="AG393">
        <v>-1</v>
      </c>
      <c r="AH393">
        <v>-1</v>
      </c>
      <c r="AI393">
        <v>0</v>
      </c>
      <c r="AJ393">
        <v>4</v>
      </c>
      <c r="AK393" t="str">
        <f>VLOOKUP(AJ393, Lookups!$B$23:$C$28, 2, FALSE)</f>
        <v>Darkness (Lit)</v>
      </c>
      <c r="AL393">
        <v>2</v>
      </c>
      <c r="AM393" t="str">
        <f>VLOOKUP(AL393, Lookups!$B$30:$C$39, 2, FALSE)</f>
        <v>Rain</v>
      </c>
      <c r="AN393">
        <v>2</v>
      </c>
      <c r="AO393" t="str">
        <f>VLOOKUP(AN393, Lookups!$B$41:$C$49, 2, FALSE)</f>
        <v>Wet / damp</v>
      </c>
      <c r="AP393">
        <v>-1</v>
      </c>
      <c r="AQ393">
        <v>-1</v>
      </c>
      <c r="AR393">
        <v>0</v>
      </c>
      <c r="AS393">
        <v>2</v>
      </c>
      <c r="AT393">
        <v>1</v>
      </c>
      <c r="AU393">
        <v>2</v>
      </c>
      <c r="AV393" t="s">
        <v>80</v>
      </c>
      <c r="AW393">
        <v>7</v>
      </c>
      <c r="AX393">
        <v>1</v>
      </c>
      <c r="AY393">
        <v>1</v>
      </c>
      <c r="AZ393">
        <v>0</v>
      </c>
    </row>
    <row r="394" spans="1:52" x14ac:dyDescent="0.35">
      <c r="A394">
        <v>2025221600952</v>
      </c>
      <c r="B394">
        <v>2025</v>
      </c>
      <c r="C394">
        <v>221600952</v>
      </c>
      <c r="D394">
        <v>384414</v>
      </c>
      <c r="E394">
        <v>264334</v>
      </c>
      <c r="F394">
        <v>-2.22986</v>
      </c>
      <c r="G394">
        <v>52.27693</v>
      </c>
      <c r="H394">
        <v>22</v>
      </c>
      <c r="I394">
        <v>3</v>
      </c>
      <c r="J394" t="str">
        <f>VLOOKUP(I394, Lookups!$B$1:$C$4, 2, FALSE)</f>
        <v>Slight</v>
      </c>
      <c r="K394">
        <v>1</v>
      </c>
      <c r="L394">
        <v>1</v>
      </c>
      <c r="M394" s="1">
        <v>45798</v>
      </c>
      <c r="N394">
        <v>4</v>
      </c>
      <c r="O394" t="str">
        <f>VLOOKUP(N394, Lookups!$B$6:$C$12, 2, FALSE)</f>
        <v>Wednesday</v>
      </c>
      <c r="P394" s="2">
        <v>0.58333333333333337</v>
      </c>
      <c r="Q394">
        <v>-1</v>
      </c>
      <c r="R394" t="s">
        <v>54</v>
      </c>
      <c r="S394" t="s">
        <v>45</v>
      </c>
      <c r="T394" t="s">
        <v>45</v>
      </c>
      <c r="U394">
        <v>6</v>
      </c>
      <c r="V394" t="str">
        <f>VLOOKUP(U394, Lookups!$B$51:$C$57, 2, FALSE)</f>
        <v>Unclassified</v>
      </c>
      <c r="W394">
        <v>0</v>
      </c>
      <c r="X394" t="s">
        <v>362</v>
      </c>
      <c r="Y394">
        <v>6</v>
      </c>
      <c r="Z394" t="str">
        <f>VLOOKUP(Y394, Lookups!$B$14:$C$21, 2, FALSE)</f>
        <v>Single carriageway</v>
      </c>
      <c r="AA394">
        <v>30</v>
      </c>
      <c r="AB394">
        <v>-1</v>
      </c>
      <c r="AC394">
        <v>13</v>
      </c>
      <c r="AD394">
        <v>4</v>
      </c>
      <c r="AE394">
        <v>6</v>
      </c>
      <c r="AF394">
        <v>0</v>
      </c>
      <c r="AG394">
        <v>-1</v>
      </c>
      <c r="AH394">
        <v>-1</v>
      </c>
      <c r="AI394">
        <v>0</v>
      </c>
      <c r="AJ394">
        <v>1</v>
      </c>
      <c r="AK394" t="str">
        <f>VLOOKUP(AJ394, Lookups!$B$23:$C$28, 2, FALSE)</f>
        <v>Daylight</v>
      </c>
      <c r="AL394">
        <v>1</v>
      </c>
      <c r="AM394" t="str">
        <f>VLOOKUP(AL394, Lookups!$B$30:$C$39, 2, FALSE)</f>
        <v>Fine / Clear</v>
      </c>
      <c r="AN394">
        <v>1</v>
      </c>
      <c r="AO394" t="str">
        <f>VLOOKUP(AN394, Lookups!$B$41:$C$49, 2, FALSE)</f>
        <v>Dry</v>
      </c>
      <c r="AP394">
        <v>-1</v>
      </c>
      <c r="AQ394">
        <v>-1</v>
      </c>
      <c r="AR394">
        <v>0</v>
      </c>
      <c r="AS394">
        <v>2</v>
      </c>
      <c r="AT394">
        <v>1</v>
      </c>
      <c r="AU394">
        <v>2</v>
      </c>
      <c r="AV394" t="s">
        <v>124</v>
      </c>
      <c r="AW394">
        <v>3</v>
      </c>
      <c r="AX394">
        <v>1</v>
      </c>
      <c r="AY394">
        <v>0</v>
      </c>
      <c r="AZ394">
        <v>1</v>
      </c>
    </row>
    <row r="395" spans="1:52" x14ac:dyDescent="0.35">
      <c r="A395">
        <v>2025221615464</v>
      </c>
      <c r="B395">
        <v>2025</v>
      </c>
      <c r="C395">
        <v>221615464</v>
      </c>
      <c r="D395">
        <v>395517</v>
      </c>
      <c r="E395">
        <v>270204</v>
      </c>
      <c r="F395">
        <v>-2.0672100000000002</v>
      </c>
      <c r="G395">
        <v>52.329909999999998</v>
      </c>
      <c r="H395">
        <v>22</v>
      </c>
      <c r="I395">
        <v>2</v>
      </c>
      <c r="J395" t="str">
        <f>VLOOKUP(I395, Lookups!$B$1:$C$4, 2, FALSE)</f>
        <v>Serious</v>
      </c>
      <c r="K395">
        <v>2</v>
      </c>
      <c r="L395">
        <v>1</v>
      </c>
      <c r="M395" s="1">
        <v>45851</v>
      </c>
      <c r="N395">
        <v>1</v>
      </c>
      <c r="O395" t="str">
        <f>VLOOKUP(N395, Lookups!$B$6:$C$12, 2, FALSE)</f>
        <v>Sunday</v>
      </c>
      <c r="P395" s="2">
        <v>0.58680555555555558</v>
      </c>
      <c r="Q395">
        <v>-1</v>
      </c>
      <c r="R395" t="s">
        <v>47</v>
      </c>
      <c r="S395" t="s">
        <v>45</v>
      </c>
      <c r="T395" t="s">
        <v>45</v>
      </c>
      <c r="U395">
        <v>4</v>
      </c>
      <c r="V395" t="str">
        <f>VLOOKUP(U395, Lookups!$B$51:$C$57, 2, FALSE)</f>
        <v>B</v>
      </c>
      <c r="W395">
        <v>4091</v>
      </c>
      <c r="X395" t="str">
        <f>V395&amp;W395</f>
        <v>B4091</v>
      </c>
      <c r="Y395">
        <v>6</v>
      </c>
      <c r="Z395" t="str">
        <f>VLOOKUP(Y395, Lookups!$B$14:$C$21, 2, FALSE)</f>
        <v>Single carriageway</v>
      </c>
      <c r="AA395">
        <v>30</v>
      </c>
      <c r="AB395">
        <v>-1</v>
      </c>
      <c r="AC395">
        <v>13</v>
      </c>
      <c r="AD395">
        <v>4</v>
      </c>
      <c r="AE395">
        <v>6</v>
      </c>
      <c r="AF395">
        <v>0</v>
      </c>
      <c r="AG395">
        <v>-1</v>
      </c>
      <c r="AH395">
        <v>-1</v>
      </c>
      <c r="AI395">
        <v>0</v>
      </c>
      <c r="AJ395">
        <v>1</v>
      </c>
      <c r="AK395" t="str">
        <f>VLOOKUP(AJ395, Lookups!$B$23:$C$28, 2, FALSE)</f>
        <v>Daylight</v>
      </c>
      <c r="AL395">
        <v>1</v>
      </c>
      <c r="AM395" t="str">
        <f>VLOOKUP(AL395, Lookups!$B$30:$C$39, 2, FALSE)</f>
        <v>Fine / Clear</v>
      </c>
      <c r="AN395">
        <v>1</v>
      </c>
      <c r="AO395" t="str">
        <f>VLOOKUP(AN395, Lookups!$B$41:$C$49, 2, FALSE)</f>
        <v>Dry</v>
      </c>
      <c r="AP395">
        <v>-1</v>
      </c>
      <c r="AQ395">
        <v>-1</v>
      </c>
      <c r="AR395">
        <v>0</v>
      </c>
      <c r="AS395">
        <v>1</v>
      </c>
      <c r="AT395">
        <v>1</v>
      </c>
      <c r="AU395">
        <v>2</v>
      </c>
      <c r="AV395" t="s">
        <v>71</v>
      </c>
      <c r="AW395">
        <v>7</v>
      </c>
      <c r="AX395">
        <v>1</v>
      </c>
      <c r="AY395">
        <v>1</v>
      </c>
      <c r="AZ395">
        <v>0</v>
      </c>
    </row>
    <row r="396" spans="1:52" x14ac:dyDescent="0.35">
      <c r="A396">
        <v>2025221574894</v>
      </c>
      <c r="B396">
        <v>2025</v>
      </c>
      <c r="C396">
        <v>221574894</v>
      </c>
      <c r="D396">
        <v>401767</v>
      </c>
      <c r="E396">
        <v>264693</v>
      </c>
      <c r="F396">
        <v>-1.9755199999999999</v>
      </c>
      <c r="G396">
        <v>52.280380000000001</v>
      </c>
      <c r="H396">
        <v>22</v>
      </c>
      <c r="I396">
        <v>3</v>
      </c>
      <c r="J396" t="str">
        <f>VLOOKUP(I396, Lookups!$B$1:$C$4, 2, FALSE)</f>
        <v>Slight</v>
      </c>
      <c r="K396">
        <v>2</v>
      </c>
      <c r="L396">
        <v>1</v>
      </c>
      <c r="M396" s="1">
        <v>45750</v>
      </c>
      <c r="N396">
        <v>5</v>
      </c>
      <c r="O396" t="str">
        <f>VLOOKUP(N396, Lookups!$B$6:$C$12, 2, FALSE)</f>
        <v>Thursday</v>
      </c>
      <c r="P396" s="2">
        <v>0.68472222222222223</v>
      </c>
      <c r="Q396">
        <v>-1</v>
      </c>
      <c r="R396" t="s">
        <v>69</v>
      </c>
      <c r="S396" t="s">
        <v>45</v>
      </c>
      <c r="T396" t="s">
        <v>45</v>
      </c>
      <c r="U396">
        <v>6</v>
      </c>
      <c r="V396" t="str">
        <f>VLOOKUP(U396, Lookups!$B$51:$C$57, 2, FALSE)</f>
        <v>Unclassified</v>
      </c>
      <c r="W396">
        <v>0</v>
      </c>
      <c r="X396" t="s">
        <v>362</v>
      </c>
      <c r="Y396">
        <v>6</v>
      </c>
      <c r="Z396" t="str">
        <f>VLOOKUP(Y396, Lookups!$B$14:$C$21, 2, FALSE)</f>
        <v>Single carriageway</v>
      </c>
      <c r="AA396">
        <v>60</v>
      </c>
      <c r="AB396">
        <v>-1</v>
      </c>
      <c r="AC396">
        <v>16</v>
      </c>
      <c r="AD396">
        <v>4</v>
      </c>
      <c r="AE396">
        <v>6</v>
      </c>
      <c r="AF396">
        <v>0</v>
      </c>
      <c r="AG396">
        <v>-1</v>
      </c>
      <c r="AH396">
        <v>-1</v>
      </c>
      <c r="AI396">
        <v>0</v>
      </c>
      <c r="AJ396">
        <v>1</v>
      </c>
      <c r="AK396" t="str">
        <f>VLOOKUP(AJ396, Lookups!$B$23:$C$28, 2, FALSE)</f>
        <v>Daylight</v>
      </c>
      <c r="AL396">
        <v>1</v>
      </c>
      <c r="AM396" t="str">
        <f>VLOOKUP(AL396, Lookups!$B$30:$C$39, 2, FALSE)</f>
        <v>Fine / Clear</v>
      </c>
      <c r="AN396">
        <v>1</v>
      </c>
      <c r="AO396" t="str">
        <f>VLOOKUP(AN396, Lookups!$B$41:$C$49, 2, FALSE)</f>
        <v>Dry</v>
      </c>
      <c r="AP396">
        <v>-1</v>
      </c>
      <c r="AQ396">
        <v>-1</v>
      </c>
      <c r="AR396">
        <v>0</v>
      </c>
      <c r="AS396">
        <v>1</v>
      </c>
      <c r="AT396">
        <v>1</v>
      </c>
      <c r="AU396">
        <v>2</v>
      </c>
      <c r="AV396" t="s">
        <v>92</v>
      </c>
      <c r="AW396">
        <v>3</v>
      </c>
      <c r="AX396">
        <v>1</v>
      </c>
      <c r="AY396">
        <v>0</v>
      </c>
      <c r="AZ396">
        <v>1</v>
      </c>
    </row>
    <row r="397" spans="1:52" x14ac:dyDescent="0.35">
      <c r="A397">
        <v>2025221597835</v>
      </c>
      <c r="B397">
        <v>2025</v>
      </c>
      <c r="C397">
        <v>221597835</v>
      </c>
      <c r="D397">
        <v>403049</v>
      </c>
      <c r="E397">
        <v>240208</v>
      </c>
      <c r="F397">
        <v>-1.9569399999999999</v>
      </c>
      <c r="G397">
        <v>52.06024</v>
      </c>
      <c r="H397">
        <v>22</v>
      </c>
      <c r="I397">
        <v>3</v>
      </c>
      <c r="J397" t="str">
        <f>VLOOKUP(I397, Lookups!$B$1:$C$4, 2, FALSE)</f>
        <v>Slight</v>
      </c>
      <c r="K397">
        <v>2</v>
      </c>
      <c r="L397">
        <v>1</v>
      </c>
      <c r="M397" s="1">
        <v>45799</v>
      </c>
      <c r="N397">
        <v>5</v>
      </c>
      <c r="O397" t="str">
        <f>VLOOKUP(N397, Lookups!$B$6:$C$12, 2, FALSE)</f>
        <v>Thursday</v>
      </c>
      <c r="P397" s="2">
        <v>0.3888888888888889</v>
      </c>
      <c r="Q397">
        <v>-1</v>
      </c>
      <c r="R397" t="s">
        <v>54</v>
      </c>
      <c r="S397" t="s">
        <v>45</v>
      </c>
      <c r="T397" t="s">
        <v>45</v>
      </c>
      <c r="U397">
        <v>3</v>
      </c>
      <c r="V397" t="str">
        <f>VLOOKUP(U397, Lookups!$B$51:$C$57, 2, FALSE)</f>
        <v>A</v>
      </c>
      <c r="W397">
        <v>46</v>
      </c>
      <c r="X397" t="str">
        <f t="shared" ref="X397:X402" si="53">V397&amp;W397</f>
        <v>A46</v>
      </c>
      <c r="Y397">
        <v>6</v>
      </c>
      <c r="Z397" t="str">
        <f>VLOOKUP(Y397, Lookups!$B$14:$C$21, 2, FALSE)</f>
        <v>Single carriageway</v>
      </c>
      <c r="AA397">
        <v>40</v>
      </c>
      <c r="AB397">
        <v>-1</v>
      </c>
      <c r="AC397">
        <v>13</v>
      </c>
      <c r="AD397">
        <v>4</v>
      </c>
      <c r="AE397">
        <v>6</v>
      </c>
      <c r="AF397">
        <v>0</v>
      </c>
      <c r="AG397">
        <v>-1</v>
      </c>
      <c r="AH397">
        <v>-1</v>
      </c>
      <c r="AI397">
        <v>0</v>
      </c>
      <c r="AJ397">
        <v>1</v>
      </c>
      <c r="AK397" t="str">
        <f>VLOOKUP(AJ397, Lookups!$B$23:$C$28, 2, FALSE)</f>
        <v>Daylight</v>
      </c>
      <c r="AL397">
        <v>1</v>
      </c>
      <c r="AM397" t="str">
        <f>VLOOKUP(AL397, Lookups!$B$30:$C$39, 2, FALSE)</f>
        <v>Fine / Clear</v>
      </c>
      <c r="AN397">
        <v>1</v>
      </c>
      <c r="AO397" t="str">
        <f>VLOOKUP(AN397, Lookups!$B$41:$C$49, 2, FALSE)</f>
        <v>Dry</v>
      </c>
      <c r="AP397">
        <v>-1</v>
      </c>
      <c r="AQ397">
        <v>-1</v>
      </c>
      <c r="AR397">
        <v>0</v>
      </c>
      <c r="AS397">
        <v>2</v>
      </c>
      <c r="AT397">
        <v>1</v>
      </c>
      <c r="AU397">
        <v>1</v>
      </c>
      <c r="AV397" t="s">
        <v>134</v>
      </c>
      <c r="AW397">
        <v>3</v>
      </c>
      <c r="AX397">
        <v>1</v>
      </c>
      <c r="AY397">
        <v>0</v>
      </c>
      <c r="AZ397">
        <v>1</v>
      </c>
    </row>
    <row r="398" spans="1:52" x14ac:dyDescent="0.35">
      <c r="A398">
        <v>2025221677412</v>
      </c>
      <c r="B398">
        <v>2025</v>
      </c>
      <c r="C398">
        <v>221677412</v>
      </c>
      <c r="D398">
        <v>403973</v>
      </c>
      <c r="E398">
        <v>268947</v>
      </c>
      <c r="F398">
        <v>-1.9431400000000001</v>
      </c>
      <c r="G398">
        <v>52.31861</v>
      </c>
      <c r="H398">
        <v>22</v>
      </c>
      <c r="I398">
        <v>3</v>
      </c>
      <c r="J398" t="str">
        <f>VLOOKUP(I398, Lookups!$B$1:$C$4, 2, FALSE)</f>
        <v>Slight</v>
      </c>
      <c r="K398">
        <v>1</v>
      </c>
      <c r="L398">
        <v>1</v>
      </c>
      <c r="M398" s="1">
        <v>45987</v>
      </c>
      <c r="N398">
        <v>4</v>
      </c>
      <c r="O398" t="str">
        <f>VLOOKUP(N398, Lookups!$B$6:$C$12, 2, FALSE)</f>
        <v>Wednesday</v>
      </c>
      <c r="P398" s="2">
        <v>0.99791666666666667</v>
      </c>
      <c r="Q398">
        <v>-1</v>
      </c>
      <c r="R398" t="s">
        <v>69</v>
      </c>
      <c r="S398" t="s">
        <v>45</v>
      </c>
      <c r="T398" t="s">
        <v>45</v>
      </c>
      <c r="U398">
        <v>3</v>
      </c>
      <c r="V398" t="str">
        <f>VLOOKUP(U398, Lookups!$B$51:$C$57, 2, FALSE)</f>
        <v>A</v>
      </c>
      <c r="W398">
        <v>441</v>
      </c>
      <c r="X398" t="str">
        <f t="shared" si="53"/>
        <v>A441</v>
      </c>
      <c r="Y398">
        <v>6</v>
      </c>
      <c r="Z398" t="str">
        <f>VLOOKUP(Y398, Lookups!$B$14:$C$21, 2, FALSE)</f>
        <v>Single carriageway</v>
      </c>
      <c r="AA398">
        <v>30</v>
      </c>
      <c r="AB398">
        <v>-1</v>
      </c>
      <c r="AC398">
        <v>0</v>
      </c>
      <c r="AD398">
        <v>-1</v>
      </c>
      <c r="AE398">
        <v>6</v>
      </c>
      <c r="AF398">
        <v>0</v>
      </c>
      <c r="AG398">
        <v>-1</v>
      </c>
      <c r="AH398">
        <v>-1</v>
      </c>
      <c r="AI398">
        <v>0</v>
      </c>
      <c r="AJ398">
        <v>4</v>
      </c>
      <c r="AK398" t="str">
        <f>VLOOKUP(AJ398, Lookups!$B$23:$C$28, 2, FALSE)</f>
        <v>Darkness (Lit)</v>
      </c>
      <c r="AL398">
        <v>1</v>
      </c>
      <c r="AM398" t="str">
        <f>VLOOKUP(AL398, Lookups!$B$30:$C$39, 2, FALSE)</f>
        <v>Fine / Clear</v>
      </c>
      <c r="AN398">
        <v>2</v>
      </c>
      <c r="AO398" t="str">
        <f>VLOOKUP(AN398, Lookups!$B$41:$C$49, 2, FALSE)</f>
        <v>Wet / damp</v>
      </c>
      <c r="AP398">
        <v>-1</v>
      </c>
      <c r="AQ398">
        <v>-1</v>
      </c>
      <c r="AR398">
        <v>0</v>
      </c>
      <c r="AS398">
        <v>2</v>
      </c>
      <c r="AT398">
        <v>1</v>
      </c>
      <c r="AU398">
        <v>2</v>
      </c>
      <c r="AV398" t="s">
        <v>244</v>
      </c>
      <c r="AW398">
        <v>3</v>
      </c>
      <c r="AX398">
        <v>1</v>
      </c>
      <c r="AY398">
        <v>0</v>
      </c>
      <c r="AZ398">
        <v>1</v>
      </c>
    </row>
    <row r="399" spans="1:52" x14ac:dyDescent="0.35">
      <c r="A399">
        <v>2025221629373</v>
      </c>
      <c r="B399">
        <v>2025</v>
      </c>
      <c r="C399">
        <v>221629373</v>
      </c>
      <c r="D399">
        <v>393716</v>
      </c>
      <c r="E399">
        <v>262671</v>
      </c>
      <c r="F399">
        <v>-2.0934900000000001</v>
      </c>
      <c r="G399">
        <v>52.262169999999998</v>
      </c>
      <c r="H399">
        <v>22</v>
      </c>
      <c r="I399">
        <v>3</v>
      </c>
      <c r="J399" t="str">
        <f>VLOOKUP(I399, Lookups!$B$1:$C$4, 2, FALSE)</f>
        <v>Slight</v>
      </c>
      <c r="K399">
        <v>2</v>
      </c>
      <c r="L399">
        <v>1</v>
      </c>
      <c r="M399" s="1">
        <v>45884</v>
      </c>
      <c r="N399">
        <v>6</v>
      </c>
      <c r="O399" t="str">
        <f>VLOOKUP(N399, Lookups!$B$6:$C$12, 2, FALSE)</f>
        <v>Friday</v>
      </c>
      <c r="P399" s="2">
        <v>0.36180555555555555</v>
      </c>
      <c r="Q399">
        <v>-1</v>
      </c>
      <c r="R399" t="s">
        <v>54</v>
      </c>
      <c r="S399" t="s">
        <v>45</v>
      </c>
      <c r="T399" t="s">
        <v>45</v>
      </c>
      <c r="U399">
        <v>4</v>
      </c>
      <c r="V399" t="str">
        <f>VLOOKUP(U399, Lookups!$B$51:$C$57, 2, FALSE)</f>
        <v>B</v>
      </c>
      <c r="W399">
        <v>4090</v>
      </c>
      <c r="X399" t="str">
        <f t="shared" si="53"/>
        <v>B4090</v>
      </c>
      <c r="Y399">
        <v>6</v>
      </c>
      <c r="Z399" t="str">
        <f>VLOOKUP(Y399, Lookups!$B$14:$C$21, 2, FALSE)</f>
        <v>Single carriageway</v>
      </c>
      <c r="AA399">
        <v>60</v>
      </c>
      <c r="AB399">
        <v>-1</v>
      </c>
      <c r="AC399">
        <v>13</v>
      </c>
      <c r="AD399">
        <v>4</v>
      </c>
      <c r="AE399">
        <v>6</v>
      </c>
      <c r="AF399">
        <v>0</v>
      </c>
      <c r="AG399">
        <v>-1</v>
      </c>
      <c r="AH399">
        <v>-1</v>
      </c>
      <c r="AI399">
        <v>0</v>
      </c>
      <c r="AJ399">
        <v>1</v>
      </c>
      <c r="AK399" t="str">
        <f>VLOOKUP(AJ399, Lookups!$B$23:$C$28, 2, FALSE)</f>
        <v>Daylight</v>
      </c>
      <c r="AL399">
        <v>1</v>
      </c>
      <c r="AM399" t="str">
        <f>VLOOKUP(AL399, Lookups!$B$30:$C$39, 2, FALSE)</f>
        <v>Fine / Clear</v>
      </c>
      <c r="AN399">
        <v>1</v>
      </c>
      <c r="AO399" t="str">
        <f>VLOOKUP(AN399, Lookups!$B$41:$C$49, 2, FALSE)</f>
        <v>Dry</v>
      </c>
      <c r="AP399">
        <v>-1</v>
      </c>
      <c r="AQ399">
        <v>-1</v>
      </c>
      <c r="AR399">
        <v>0</v>
      </c>
      <c r="AS399">
        <v>2</v>
      </c>
      <c r="AT399">
        <v>1</v>
      </c>
      <c r="AU399">
        <v>2</v>
      </c>
      <c r="AV399" t="s">
        <v>257</v>
      </c>
      <c r="AW399">
        <v>3</v>
      </c>
      <c r="AX399">
        <v>1</v>
      </c>
      <c r="AY399">
        <v>0</v>
      </c>
      <c r="AZ399">
        <v>1</v>
      </c>
    </row>
    <row r="400" spans="1:52" x14ac:dyDescent="0.35">
      <c r="A400">
        <v>2025221628224</v>
      </c>
      <c r="B400">
        <v>2025</v>
      </c>
      <c r="C400">
        <v>221628224</v>
      </c>
      <c r="D400">
        <v>390216</v>
      </c>
      <c r="E400">
        <v>253798</v>
      </c>
      <c r="F400">
        <v>-2.1445099999999999</v>
      </c>
      <c r="G400">
        <v>52.182340000000003</v>
      </c>
      <c r="H400">
        <v>22</v>
      </c>
      <c r="I400">
        <v>3</v>
      </c>
      <c r="J400" t="str">
        <f>VLOOKUP(I400, Lookups!$B$1:$C$4, 2, FALSE)</f>
        <v>Slight</v>
      </c>
      <c r="K400">
        <v>2</v>
      </c>
      <c r="L400">
        <v>2</v>
      </c>
      <c r="M400" s="1">
        <v>45882</v>
      </c>
      <c r="N400">
        <v>4</v>
      </c>
      <c r="O400" t="str">
        <f>VLOOKUP(N400, Lookups!$B$6:$C$12, 2, FALSE)</f>
        <v>Wednesday</v>
      </c>
      <c r="P400" s="2">
        <v>0.3888888888888889</v>
      </c>
      <c r="Q400">
        <v>-1</v>
      </c>
      <c r="R400" t="s">
        <v>54</v>
      </c>
      <c r="S400" t="s">
        <v>45</v>
      </c>
      <c r="T400" t="s">
        <v>45</v>
      </c>
      <c r="U400">
        <v>3</v>
      </c>
      <c r="V400" t="str">
        <f>VLOOKUP(U400, Lookups!$B$51:$C$57, 2, FALSE)</f>
        <v>A</v>
      </c>
      <c r="W400">
        <v>44</v>
      </c>
      <c r="X400" t="str">
        <f t="shared" si="53"/>
        <v>A44</v>
      </c>
      <c r="Y400">
        <v>6</v>
      </c>
      <c r="Z400" t="str">
        <f>VLOOKUP(Y400, Lookups!$B$14:$C$21, 2, FALSE)</f>
        <v>Single carriageway</v>
      </c>
      <c r="AA400">
        <v>50</v>
      </c>
      <c r="AB400">
        <v>-1</v>
      </c>
      <c r="AC400">
        <v>0</v>
      </c>
      <c r="AD400">
        <v>-1</v>
      </c>
      <c r="AE400">
        <v>0</v>
      </c>
      <c r="AF400">
        <v>-1</v>
      </c>
      <c r="AG400">
        <v>-1</v>
      </c>
      <c r="AH400">
        <v>-1</v>
      </c>
      <c r="AI400">
        <v>0</v>
      </c>
      <c r="AJ400">
        <v>1</v>
      </c>
      <c r="AK400" t="str">
        <f>VLOOKUP(AJ400, Lookups!$B$23:$C$28, 2, FALSE)</f>
        <v>Daylight</v>
      </c>
      <c r="AL400">
        <v>1</v>
      </c>
      <c r="AM400" t="str">
        <f>VLOOKUP(AL400, Lookups!$B$30:$C$39, 2, FALSE)</f>
        <v>Fine / Clear</v>
      </c>
      <c r="AN400">
        <v>1</v>
      </c>
      <c r="AO400" t="str">
        <f>VLOOKUP(AN400, Lookups!$B$41:$C$49, 2, FALSE)</f>
        <v>Dry</v>
      </c>
      <c r="AP400">
        <v>-1</v>
      </c>
      <c r="AQ400">
        <v>-1</v>
      </c>
      <c r="AR400">
        <v>0</v>
      </c>
      <c r="AS400">
        <v>2</v>
      </c>
      <c r="AT400">
        <v>1</v>
      </c>
      <c r="AU400">
        <v>2</v>
      </c>
      <c r="AV400" t="s">
        <v>55</v>
      </c>
      <c r="AW400">
        <v>3</v>
      </c>
      <c r="AX400">
        <v>1</v>
      </c>
      <c r="AY400">
        <v>0</v>
      </c>
      <c r="AZ400">
        <v>1</v>
      </c>
    </row>
    <row r="401" spans="1:52" x14ac:dyDescent="0.35">
      <c r="A401">
        <v>2025221653080</v>
      </c>
      <c r="B401">
        <v>2025</v>
      </c>
      <c r="C401">
        <v>221653080</v>
      </c>
      <c r="D401">
        <v>382186</v>
      </c>
      <c r="E401">
        <v>276449</v>
      </c>
      <c r="F401">
        <v>-2.2631600000000001</v>
      </c>
      <c r="G401">
        <v>52.385779999999997</v>
      </c>
      <c r="H401">
        <v>22</v>
      </c>
      <c r="I401">
        <v>2</v>
      </c>
      <c r="J401" t="str">
        <f>VLOOKUP(I401, Lookups!$B$1:$C$4, 2, FALSE)</f>
        <v>Serious</v>
      </c>
      <c r="K401">
        <v>2</v>
      </c>
      <c r="L401">
        <v>1</v>
      </c>
      <c r="M401" s="1">
        <v>45939</v>
      </c>
      <c r="N401">
        <v>5</v>
      </c>
      <c r="O401" t="str">
        <f>VLOOKUP(N401, Lookups!$B$6:$C$12, 2, FALSE)</f>
        <v>Thursday</v>
      </c>
      <c r="P401" s="2">
        <v>0.52152777777777781</v>
      </c>
      <c r="Q401">
        <v>-1</v>
      </c>
      <c r="R401" t="s">
        <v>44</v>
      </c>
      <c r="S401" t="s">
        <v>45</v>
      </c>
      <c r="T401" t="s">
        <v>45</v>
      </c>
      <c r="U401">
        <v>3</v>
      </c>
      <c r="V401" t="str">
        <f>VLOOKUP(U401, Lookups!$B$51:$C$57, 2, FALSE)</f>
        <v>A</v>
      </c>
      <c r="W401">
        <v>456</v>
      </c>
      <c r="X401" t="str">
        <f t="shared" si="53"/>
        <v>A456</v>
      </c>
      <c r="Y401">
        <v>6</v>
      </c>
      <c r="Z401" t="str">
        <f>VLOOKUP(Y401, Lookups!$B$14:$C$21, 2, FALSE)</f>
        <v>Single carriageway</v>
      </c>
      <c r="AA401">
        <v>30</v>
      </c>
      <c r="AB401">
        <v>-1</v>
      </c>
      <c r="AC401">
        <v>0</v>
      </c>
      <c r="AD401">
        <v>-1</v>
      </c>
      <c r="AE401">
        <v>3</v>
      </c>
      <c r="AF401">
        <v>4535</v>
      </c>
      <c r="AG401">
        <v>-1</v>
      </c>
      <c r="AH401">
        <v>-1</v>
      </c>
      <c r="AI401">
        <v>14</v>
      </c>
      <c r="AJ401">
        <v>1</v>
      </c>
      <c r="AK401" t="str">
        <f>VLOOKUP(AJ401, Lookups!$B$23:$C$28, 2, FALSE)</f>
        <v>Daylight</v>
      </c>
      <c r="AL401">
        <v>1</v>
      </c>
      <c r="AM401" t="str">
        <f>VLOOKUP(AL401, Lookups!$B$30:$C$39, 2, FALSE)</f>
        <v>Fine / Clear</v>
      </c>
      <c r="AN401">
        <v>1</v>
      </c>
      <c r="AO401" t="str">
        <f>VLOOKUP(AN401, Lookups!$B$41:$C$49, 2, FALSE)</f>
        <v>Dry</v>
      </c>
      <c r="AP401">
        <v>-1</v>
      </c>
      <c r="AQ401">
        <v>-1</v>
      </c>
      <c r="AR401">
        <v>0</v>
      </c>
      <c r="AS401">
        <v>1</v>
      </c>
      <c r="AT401">
        <v>1</v>
      </c>
      <c r="AU401">
        <v>2</v>
      </c>
      <c r="AV401" t="s">
        <v>105</v>
      </c>
      <c r="AW401">
        <v>7</v>
      </c>
      <c r="AX401">
        <v>1</v>
      </c>
      <c r="AY401">
        <v>1</v>
      </c>
      <c r="AZ401">
        <v>0</v>
      </c>
    </row>
    <row r="402" spans="1:52" x14ac:dyDescent="0.35">
      <c r="A402">
        <v>2025221670512</v>
      </c>
      <c r="B402">
        <v>2025</v>
      </c>
      <c r="C402">
        <v>221670512</v>
      </c>
      <c r="D402">
        <v>385191</v>
      </c>
      <c r="E402">
        <v>254998</v>
      </c>
      <c r="F402">
        <v>-2.2180599999999999</v>
      </c>
      <c r="G402">
        <v>52.193019999999997</v>
      </c>
      <c r="H402">
        <v>22</v>
      </c>
      <c r="I402">
        <v>2</v>
      </c>
      <c r="J402" t="str">
        <f>VLOOKUP(I402, Lookups!$B$1:$C$4, 2, FALSE)</f>
        <v>Serious</v>
      </c>
      <c r="K402">
        <v>1</v>
      </c>
      <c r="L402">
        <v>1</v>
      </c>
      <c r="M402" s="1">
        <v>45976</v>
      </c>
      <c r="N402">
        <v>7</v>
      </c>
      <c r="O402" t="str">
        <f>VLOOKUP(N402, Lookups!$B$6:$C$12, 2, FALSE)</f>
        <v>Saturday</v>
      </c>
      <c r="P402" s="2">
        <v>0.8041666666666667</v>
      </c>
      <c r="Q402">
        <v>-1</v>
      </c>
      <c r="R402" t="s">
        <v>60</v>
      </c>
      <c r="S402" t="s">
        <v>45</v>
      </c>
      <c r="T402" t="s">
        <v>45</v>
      </c>
      <c r="U402">
        <v>3</v>
      </c>
      <c r="V402" t="str">
        <f>VLOOKUP(U402, Lookups!$B$51:$C$57, 2, FALSE)</f>
        <v>A</v>
      </c>
      <c r="W402">
        <v>38</v>
      </c>
      <c r="X402" t="str">
        <f t="shared" si="53"/>
        <v>A38</v>
      </c>
      <c r="Y402">
        <v>3</v>
      </c>
      <c r="Z402" t="str">
        <f>VLOOKUP(Y402, Lookups!$B$14:$C$21, 2, FALSE)</f>
        <v>Dual carriageway</v>
      </c>
      <c r="AA402">
        <v>30</v>
      </c>
      <c r="AB402">
        <v>-1</v>
      </c>
      <c r="AC402">
        <v>13</v>
      </c>
      <c r="AD402">
        <v>4</v>
      </c>
      <c r="AE402">
        <v>6</v>
      </c>
      <c r="AF402">
        <v>0</v>
      </c>
      <c r="AG402">
        <v>-1</v>
      </c>
      <c r="AH402">
        <v>-1</v>
      </c>
      <c r="AI402">
        <v>14</v>
      </c>
      <c r="AJ402">
        <v>4</v>
      </c>
      <c r="AK402" t="str">
        <f>VLOOKUP(AJ402, Lookups!$B$23:$C$28, 2, FALSE)</f>
        <v>Darkness (Lit)</v>
      </c>
      <c r="AL402">
        <v>1</v>
      </c>
      <c r="AM402" t="str">
        <f>VLOOKUP(AL402, Lookups!$B$30:$C$39, 2, FALSE)</f>
        <v>Fine / Clear</v>
      </c>
      <c r="AN402">
        <v>2</v>
      </c>
      <c r="AO402" t="str">
        <f>VLOOKUP(AN402, Lookups!$B$41:$C$49, 2, FALSE)</f>
        <v>Wet / damp</v>
      </c>
      <c r="AP402">
        <v>-1</v>
      </c>
      <c r="AQ402">
        <v>-1</v>
      </c>
      <c r="AR402">
        <v>0</v>
      </c>
      <c r="AS402">
        <v>1</v>
      </c>
      <c r="AT402">
        <v>3</v>
      </c>
      <c r="AU402">
        <v>2</v>
      </c>
      <c r="AV402" t="s">
        <v>79</v>
      </c>
      <c r="AW402">
        <v>7</v>
      </c>
      <c r="AX402">
        <v>1</v>
      </c>
      <c r="AY402">
        <v>1</v>
      </c>
      <c r="AZ402">
        <v>0</v>
      </c>
    </row>
    <row r="403" spans="1:52" x14ac:dyDescent="0.35">
      <c r="A403">
        <v>2025221543578</v>
      </c>
      <c r="B403">
        <v>2025</v>
      </c>
      <c r="C403">
        <v>221543578</v>
      </c>
      <c r="D403">
        <v>398848</v>
      </c>
      <c r="E403">
        <v>278686</v>
      </c>
      <c r="F403">
        <v>-2.0183599999999999</v>
      </c>
      <c r="G403">
        <v>52.406179999999999</v>
      </c>
      <c r="H403">
        <v>22</v>
      </c>
      <c r="I403">
        <v>3</v>
      </c>
      <c r="J403" t="str">
        <f>VLOOKUP(I403, Lookups!$B$1:$C$4, 2, FALSE)</f>
        <v>Slight</v>
      </c>
      <c r="K403">
        <v>1</v>
      </c>
      <c r="L403">
        <v>1</v>
      </c>
      <c r="M403" s="1">
        <v>45672</v>
      </c>
      <c r="N403">
        <v>4</v>
      </c>
      <c r="O403" t="str">
        <f>VLOOKUP(N403, Lookups!$B$6:$C$12, 2, FALSE)</f>
        <v>Wednesday</v>
      </c>
      <c r="P403" s="2">
        <v>0.63611111111111107</v>
      </c>
      <c r="Q403">
        <v>-1</v>
      </c>
      <c r="R403" t="s">
        <v>47</v>
      </c>
      <c r="S403" t="s">
        <v>45</v>
      </c>
      <c r="T403" t="s">
        <v>45</v>
      </c>
      <c r="U403">
        <v>6</v>
      </c>
      <c r="V403" t="str">
        <f>VLOOKUP(U403, Lookups!$B$51:$C$57, 2, FALSE)</f>
        <v>Unclassified</v>
      </c>
      <c r="W403">
        <v>0</v>
      </c>
      <c r="X403" t="s">
        <v>362</v>
      </c>
      <c r="Y403">
        <v>6</v>
      </c>
      <c r="Z403" t="str">
        <f>VLOOKUP(Y403, Lookups!$B$14:$C$21, 2, FALSE)</f>
        <v>Single carriageway</v>
      </c>
      <c r="AA403">
        <v>30</v>
      </c>
      <c r="AB403">
        <v>-1</v>
      </c>
      <c r="AC403">
        <v>13</v>
      </c>
      <c r="AD403">
        <v>4</v>
      </c>
      <c r="AE403">
        <v>6</v>
      </c>
      <c r="AF403">
        <v>0</v>
      </c>
      <c r="AG403">
        <v>-1</v>
      </c>
      <c r="AH403">
        <v>-1</v>
      </c>
      <c r="AI403">
        <v>0</v>
      </c>
      <c r="AJ403">
        <v>1</v>
      </c>
      <c r="AK403" t="str">
        <f>VLOOKUP(AJ403, Lookups!$B$23:$C$28, 2, FALSE)</f>
        <v>Daylight</v>
      </c>
      <c r="AL403">
        <v>1</v>
      </c>
      <c r="AM403" t="str">
        <f>VLOOKUP(AL403, Lookups!$B$30:$C$39, 2, FALSE)</f>
        <v>Fine / Clear</v>
      </c>
      <c r="AN403">
        <v>1</v>
      </c>
      <c r="AO403" t="str">
        <f>VLOOKUP(AN403, Lookups!$B$41:$C$49, 2, FALSE)</f>
        <v>Dry</v>
      </c>
      <c r="AP403">
        <v>-1</v>
      </c>
      <c r="AQ403">
        <v>-1</v>
      </c>
      <c r="AR403">
        <v>0</v>
      </c>
      <c r="AS403">
        <v>2</v>
      </c>
      <c r="AT403">
        <v>2</v>
      </c>
      <c r="AU403">
        <v>2</v>
      </c>
      <c r="AV403" t="s">
        <v>149</v>
      </c>
      <c r="AW403">
        <v>3</v>
      </c>
      <c r="AX403">
        <v>1</v>
      </c>
      <c r="AY403">
        <v>0</v>
      </c>
      <c r="AZ403">
        <v>1</v>
      </c>
    </row>
    <row r="404" spans="1:52" x14ac:dyDescent="0.35">
      <c r="A404">
        <v>2025221552141</v>
      </c>
      <c r="B404">
        <v>2025</v>
      </c>
      <c r="C404">
        <v>221552141</v>
      </c>
      <c r="D404">
        <v>378536</v>
      </c>
      <c r="E404">
        <v>247759</v>
      </c>
      <c r="F404">
        <v>-2.3149600000000001</v>
      </c>
      <c r="G404">
        <v>52.127719999999997</v>
      </c>
      <c r="H404">
        <v>22</v>
      </c>
      <c r="I404">
        <v>3</v>
      </c>
      <c r="J404" t="str">
        <f>VLOOKUP(I404, Lookups!$B$1:$C$4, 2, FALSE)</f>
        <v>Slight</v>
      </c>
      <c r="K404">
        <v>2</v>
      </c>
      <c r="L404">
        <v>1</v>
      </c>
      <c r="M404" s="1">
        <v>45696</v>
      </c>
      <c r="N404">
        <v>7</v>
      </c>
      <c r="O404" t="str">
        <f>VLOOKUP(N404, Lookups!$B$6:$C$12, 2, FALSE)</f>
        <v>Saturday</v>
      </c>
      <c r="P404" s="2">
        <v>0.90277777777777779</v>
      </c>
      <c r="Q404">
        <v>-1</v>
      </c>
      <c r="R404" t="s">
        <v>49</v>
      </c>
      <c r="S404" t="s">
        <v>45</v>
      </c>
      <c r="T404" t="s">
        <v>45</v>
      </c>
      <c r="U404">
        <v>3</v>
      </c>
      <c r="V404" t="str">
        <f>VLOOKUP(U404, Lookups!$B$51:$C$57, 2, FALSE)</f>
        <v>A</v>
      </c>
      <c r="W404">
        <v>449</v>
      </c>
      <c r="X404" t="str">
        <f t="shared" ref="X404:X407" si="54">V404&amp;W404</f>
        <v>A449</v>
      </c>
      <c r="Y404">
        <v>6</v>
      </c>
      <c r="Z404" t="str">
        <f>VLOOKUP(Y404, Lookups!$B$14:$C$21, 2, FALSE)</f>
        <v>Single carriageway</v>
      </c>
      <c r="AA404">
        <v>30</v>
      </c>
      <c r="AB404">
        <v>-1</v>
      </c>
      <c r="AC404">
        <v>16</v>
      </c>
      <c r="AD404">
        <v>2</v>
      </c>
      <c r="AE404">
        <v>6</v>
      </c>
      <c r="AF404">
        <v>0</v>
      </c>
      <c r="AG404">
        <v>-1</v>
      </c>
      <c r="AH404">
        <v>-1</v>
      </c>
      <c r="AI404">
        <v>14</v>
      </c>
      <c r="AJ404">
        <v>4</v>
      </c>
      <c r="AK404" t="str">
        <f>VLOOKUP(AJ404, Lookups!$B$23:$C$28, 2, FALSE)</f>
        <v>Darkness (Lit)</v>
      </c>
      <c r="AL404">
        <v>2</v>
      </c>
      <c r="AM404" t="str">
        <f>VLOOKUP(AL404, Lookups!$B$30:$C$39, 2, FALSE)</f>
        <v>Rain</v>
      </c>
      <c r="AN404">
        <v>2</v>
      </c>
      <c r="AO404" t="str">
        <f>VLOOKUP(AN404, Lookups!$B$41:$C$49, 2, FALSE)</f>
        <v>Wet / damp</v>
      </c>
      <c r="AP404">
        <v>-1</v>
      </c>
      <c r="AQ404">
        <v>-1</v>
      </c>
      <c r="AR404">
        <v>0</v>
      </c>
      <c r="AS404">
        <v>1</v>
      </c>
      <c r="AT404">
        <v>1</v>
      </c>
      <c r="AU404">
        <v>2</v>
      </c>
      <c r="AV404" t="s">
        <v>158</v>
      </c>
      <c r="AW404">
        <v>3</v>
      </c>
      <c r="AX404">
        <v>1</v>
      </c>
      <c r="AY404">
        <v>0</v>
      </c>
      <c r="AZ404">
        <v>1</v>
      </c>
    </row>
    <row r="405" spans="1:52" x14ac:dyDescent="0.35">
      <c r="A405">
        <v>2025221608679</v>
      </c>
      <c r="B405">
        <v>2025</v>
      </c>
      <c r="C405">
        <v>221608679</v>
      </c>
      <c r="D405">
        <v>395236</v>
      </c>
      <c r="E405">
        <v>270861</v>
      </c>
      <c r="F405">
        <v>-2.0713400000000002</v>
      </c>
      <c r="G405">
        <v>52.335810000000002</v>
      </c>
      <c r="H405">
        <v>22</v>
      </c>
      <c r="I405">
        <v>3</v>
      </c>
      <c r="J405" t="str">
        <f>VLOOKUP(I405, Lookups!$B$1:$C$4, 2, FALSE)</f>
        <v>Slight</v>
      </c>
      <c r="K405">
        <v>2</v>
      </c>
      <c r="L405">
        <v>1</v>
      </c>
      <c r="M405" s="1">
        <v>45835</v>
      </c>
      <c r="N405">
        <v>6</v>
      </c>
      <c r="O405" t="str">
        <f>VLOOKUP(N405, Lookups!$B$6:$C$12, 2, FALSE)</f>
        <v>Friday</v>
      </c>
      <c r="P405" s="2">
        <v>0.9375</v>
      </c>
      <c r="Q405">
        <v>-1</v>
      </c>
      <c r="R405" t="s">
        <v>47</v>
      </c>
      <c r="S405" t="s">
        <v>45</v>
      </c>
      <c r="T405" t="s">
        <v>45</v>
      </c>
      <c r="U405">
        <v>3</v>
      </c>
      <c r="V405" t="str">
        <f>VLOOKUP(U405, Lookups!$B$51:$C$57, 2, FALSE)</f>
        <v>A</v>
      </c>
      <c r="W405">
        <v>448</v>
      </c>
      <c r="X405" t="str">
        <f t="shared" si="54"/>
        <v>A448</v>
      </c>
      <c r="Y405">
        <v>6</v>
      </c>
      <c r="Z405" t="str">
        <f>VLOOKUP(Y405, Lookups!$B$14:$C$21, 2, FALSE)</f>
        <v>Single carriageway</v>
      </c>
      <c r="AA405">
        <v>30</v>
      </c>
      <c r="AB405">
        <v>-1</v>
      </c>
      <c r="AC405">
        <v>19</v>
      </c>
      <c r="AD405">
        <v>4</v>
      </c>
      <c r="AE405">
        <v>6</v>
      </c>
      <c r="AF405">
        <v>0</v>
      </c>
      <c r="AG405">
        <v>-1</v>
      </c>
      <c r="AH405">
        <v>-1</v>
      </c>
      <c r="AI405">
        <v>0</v>
      </c>
      <c r="AJ405">
        <v>4</v>
      </c>
      <c r="AK405" t="str">
        <f>VLOOKUP(AJ405, Lookups!$B$23:$C$28, 2, FALSE)</f>
        <v>Darkness (Lit)</v>
      </c>
      <c r="AL405">
        <v>1</v>
      </c>
      <c r="AM405" t="str">
        <f>VLOOKUP(AL405, Lookups!$B$30:$C$39, 2, FALSE)</f>
        <v>Fine / Clear</v>
      </c>
      <c r="AN405">
        <v>1</v>
      </c>
      <c r="AO405" t="str">
        <f>VLOOKUP(AN405, Lookups!$B$41:$C$49, 2, FALSE)</f>
        <v>Dry</v>
      </c>
      <c r="AP405">
        <v>-1</v>
      </c>
      <c r="AQ405">
        <v>-1</v>
      </c>
      <c r="AR405">
        <v>0</v>
      </c>
      <c r="AS405">
        <v>1</v>
      </c>
      <c r="AT405">
        <v>1</v>
      </c>
      <c r="AU405">
        <v>2</v>
      </c>
      <c r="AV405" t="s">
        <v>196</v>
      </c>
      <c r="AW405">
        <v>3</v>
      </c>
      <c r="AX405">
        <v>1</v>
      </c>
      <c r="AY405">
        <v>0</v>
      </c>
      <c r="AZ405">
        <v>1</v>
      </c>
    </row>
    <row r="406" spans="1:52" x14ac:dyDescent="0.35">
      <c r="A406">
        <v>2025221660840</v>
      </c>
      <c r="B406">
        <v>2025</v>
      </c>
      <c r="C406">
        <v>221660840</v>
      </c>
      <c r="D406">
        <v>384682</v>
      </c>
      <c r="E406">
        <v>254932</v>
      </c>
      <c r="F406">
        <v>-2.2254999999999998</v>
      </c>
      <c r="G406">
        <v>52.192410000000002</v>
      </c>
      <c r="H406">
        <v>22</v>
      </c>
      <c r="I406">
        <v>2</v>
      </c>
      <c r="J406" t="str">
        <f>VLOOKUP(I406, Lookups!$B$1:$C$4, 2, FALSE)</f>
        <v>Serious</v>
      </c>
      <c r="K406">
        <v>2</v>
      </c>
      <c r="L406">
        <v>1</v>
      </c>
      <c r="M406" s="1">
        <v>45958</v>
      </c>
      <c r="N406">
        <v>3</v>
      </c>
      <c r="O406" t="str">
        <f>VLOOKUP(N406, Lookups!$B$6:$C$12, 2, FALSE)</f>
        <v>Tuesday</v>
      </c>
      <c r="P406" s="2">
        <v>0.72916666666666663</v>
      </c>
      <c r="Q406">
        <v>-1</v>
      </c>
      <c r="R406" t="s">
        <v>60</v>
      </c>
      <c r="S406" t="s">
        <v>45</v>
      </c>
      <c r="T406" t="s">
        <v>45</v>
      </c>
      <c r="U406">
        <v>3</v>
      </c>
      <c r="V406" t="str">
        <f>VLOOKUP(U406, Lookups!$B$51:$C$57, 2, FALSE)</f>
        <v>A</v>
      </c>
      <c r="W406">
        <v>44</v>
      </c>
      <c r="X406" t="str">
        <f t="shared" si="54"/>
        <v>A44</v>
      </c>
      <c r="Y406">
        <v>6</v>
      </c>
      <c r="Z406" t="str">
        <f>VLOOKUP(Y406, Lookups!$B$14:$C$21, 2, FALSE)</f>
        <v>Single carriageway</v>
      </c>
      <c r="AA406">
        <v>30</v>
      </c>
      <c r="AB406">
        <v>-1</v>
      </c>
      <c r="AC406">
        <v>19</v>
      </c>
      <c r="AD406">
        <v>4</v>
      </c>
      <c r="AE406">
        <v>6</v>
      </c>
      <c r="AF406">
        <v>0</v>
      </c>
      <c r="AG406">
        <v>-1</v>
      </c>
      <c r="AH406">
        <v>-1</v>
      </c>
      <c r="AI406">
        <v>0</v>
      </c>
      <c r="AJ406">
        <v>1</v>
      </c>
      <c r="AK406" t="str">
        <f>VLOOKUP(AJ406, Lookups!$B$23:$C$28, 2, FALSE)</f>
        <v>Daylight</v>
      </c>
      <c r="AL406">
        <v>1</v>
      </c>
      <c r="AM406" t="str">
        <f>VLOOKUP(AL406, Lookups!$B$30:$C$39, 2, FALSE)</f>
        <v>Fine / Clear</v>
      </c>
      <c r="AN406">
        <v>1</v>
      </c>
      <c r="AO406" t="str">
        <f>VLOOKUP(AN406, Lookups!$B$41:$C$49, 2, FALSE)</f>
        <v>Dry</v>
      </c>
      <c r="AP406">
        <v>-1</v>
      </c>
      <c r="AQ406">
        <v>-1</v>
      </c>
      <c r="AR406">
        <v>0</v>
      </c>
      <c r="AS406">
        <v>1</v>
      </c>
      <c r="AT406">
        <v>3</v>
      </c>
      <c r="AU406">
        <v>2</v>
      </c>
      <c r="AV406" t="s">
        <v>142</v>
      </c>
      <c r="AW406">
        <v>5</v>
      </c>
      <c r="AX406">
        <v>1</v>
      </c>
      <c r="AY406">
        <v>1</v>
      </c>
      <c r="AZ406">
        <v>0</v>
      </c>
    </row>
    <row r="407" spans="1:52" x14ac:dyDescent="0.35">
      <c r="A407">
        <v>2025221562932</v>
      </c>
      <c r="B407">
        <v>2025</v>
      </c>
      <c r="C407">
        <v>221562932</v>
      </c>
      <c r="D407">
        <v>377944</v>
      </c>
      <c r="E407">
        <v>236232</v>
      </c>
      <c r="F407">
        <v>-2.3228499999999999</v>
      </c>
      <c r="G407">
        <v>52.024059999999999</v>
      </c>
      <c r="H407">
        <v>22</v>
      </c>
      <c r="I407">
        <v>3</v>
      </c>
      <c r="J407" t="str">
        <f>VLOOKUP(I407, Lookups!$B$1:$C$4, 2, FALSE)</f>
        <v>Slight</v>
      </c>
      <c r="K407">
        <v>2</v>
      </c>
      <c r="L407">
        <v>1</v>
      </c>
      <c r="M407" s="1">
        <v>45725</v>
      </c>
      <c r="N407">
        <v>1</v>
      </c>
      <c r="O407" t="str">
        <f>VLOOKUP(N407, Lookups!$B$6:$C$12, 2, FALSE)</f>
        <v>Sunday</v>
      </c>
      <c r="P407" s="2">
        <v>0.42638888888888887</v>
      </c>
      <c r="Q407">
        <v>-1</v>
      </c>
      <c r="R407" t="s">
        <v>49</v>
      </c>
      <c r="S407" t="s">
        <v>45</v>
      </c>
      <c r="T407" t="s">
        <v>45</v>
      </c>
      <c r="U407">
        <v>4</v>
      </c>
      <c r="V407" t="str">
        <f>VLOOKUP(U407, Lookups!$B$51:$C$57, 2, FALSE)</f>
        <v>B</v>
      </c>
      <c r="W407">
        <v>4208</v>
      </c>
      <c r="X407" t="str">
        <f t="shared" si="54"/>
        <v>B4208</v>
      </c>
      <c r="Y407">
        <v>6</v>
      </c>
      <c r="Z407" t="str">
        <f>VLOOKUP(Y407, Lookups!$B$14:$C$21, 2, FALSE)</f>
        <v>Single carriageway</v>
      </c>
      <c r="AA407">
        <v>60</v>
      </c>
      <c r="AB407">
        <v>-1</v>
      </c>
      <c r="AC407">
        <v>0</v>
      </c>
      <c r="AD407">
        <v>-1</v>
      </c>
      <c r="AE407">
        <v>6</v>
      </c>
      <c r="AF407">
        <v>0</v>
      </c>
      <c r="AG407">
        <v>-1</v>
      </c>
      <c r="AH407">
        <v>-1</v>
      </c>
      <c r="AI407">
        <v>0</v>
      </c>
      <c r="AJ407">
        <v>1</v>
      </c>
      <c r="AK407" t="str">
        <f>VLOOKUP(AJ407, Lookups!$B$23:$C$28, 2, FALSE)</f>
        <v>Daylight</v>
      </c>
      <c r="AL407">
        <v>1</v>
      </c>
      <c r="AM407" t="str">
        <f>VLOOKUP(AL407, Lookups!$B$30:$C$39, 2, FALSE)</f>
        <v>Fine / Clear</v>
      </c>
      <c r="AN407">
        <v>1</v>
      </c>
      <c r="AO407" t="str">
        <f>VLOOKUP(AN407, Lookups!$B$41:$C$49, 2, FALSE)</f>
        <v>Dry</v>
      </c>
      <c r="AP407">
        <v>-1</v>
      </c>
      <c r="AQ407">
        <v>-1</v>
      </c>
      <c r="AR407">
        <v>0</v>
      </c>
      <c r="AS407">
        <v>2</v>
      </c>
      <c r="AT407">
        <v>1</v>
      </c>
      <c r="AU407">
        <v>2</v>
      </c>
      <c r="AV407" t="s">
        <v>161</v>
      </c>
      <c r="AW407">
        <v>3</v>
      </c>
      <c r="AX407">
        <v>1</v>
      </c>
      <c r="AY407">
        <v>0</v>
      </c>
      <c r="AZ407">
        <v>1</v>
      </c>
    </row>
    <row r="408" spans="1:52" x14ac:dyDescent="0.35">
      <c r="A408">
        <v>2025221595524</v>
      </c>
      <c r="B408">
        <v>2025</v>
      </c>
      <c r="C408">
        <v>221595524</v>
      </c>
      <c r="D408">
        <v>396972</v>
      </c>
      <c r="E408">
        <v>274653</v>
      </c>
      <c r="F408">
        <v>-2.0459000000000001</v>
      </c>
      <c r="G408">
        <v>52.36992</v>
      </c>
      <c r="H408">
        <v>22</v>
      </c>
      <c r="I408">
        <v>2</v>
      </c>
      <c r="J408" t="str">
        <f>VLOOKUP(I408, Lookups!$B$1:$C$4, 2, FALSE)</f>
        <v>Serious</v>
      </c>
      <c r="K408">
        <v>1</v>
      </c>
      <c r="L408">
        <v>1</v>
      </c>
      <c r="M408" s="1">
        <v>45801</v>
      </c>
      <c r="N408">
        <v>7</v>
      </c>
      <c r="O408" t="str">
        <f>VLOOKUP(N408, Lookups!$B$6:$C$12, 2, FALSE)</f>
        <v>Saturday</v>
      </c>
      <c r="P408" s="2">
        <v>0.68958333333333333</v>
      </c>
      <c r="Q408">
        <v>-1</v>
      </c>
      <c r="R408" t="s">
        <v>47</v>
      </c>
      <c r="S408" t="s">
        <v>45</v>
      </c>
      <c r="T408" t="s">
        <v>45</v>
      </c>
      <c r="U408">
        <v>6</v>
      </c>
      <c r="V408" t="str">
        <f>VLOOKUP(U408, Lookups!$B$51:$C$57, 2, FALSE)</f>
        <v>Unclassified</v>
      </c>
      <c r="W408">
        <v>0</v>
      </c>
      <c r="X408" t="s">
        <v>362</v>
      </c>
      <c r="Y408">
        <v>6</v>
      </c>
      <c r="Z408" t="str">
        <f>VLOOKUP(Y408, Lookups!$B$14:$C$21, 2, FALSE)</f>
        <v>Single carriageway</v>
      </c>
      <c r="AA408">
        <v>30</v>
      </c>
      <c r="AB408">
        <v>-1</v>
      </c>
      <c r="AC408">
        <v>13</v>
      </c>
      <c r="AD408">
        <v>4</v>
      </c>
      <c r="AE408">
        <v>3</v>
      </c>
      <c r="AF408">
        <v>38</v>
      </c>
      <c r="AG408">
        <v>-1</v>
      </c>
      <c r="AH408">
        <v>-1</v>
      </c>
      <c r="AI408">
        <v>0</v>
      </c>
      <c r="AJ408">
        <v>1</v>
      </c>
      <c r="AK408" t="str">
        <f>VLOOKUP(AJ408, Lookups!$B$23:$C$28, 2, FALSE)</f>
        <v>Daylight</v>
      </c>
      <c r="AL408">
        <v>1</v>
      </c>
      <c r="AM408" t="str">
        <f>VLOOKUP(AL408, Lookups!$B$30:$C$39, 2, FALSE)</f>
        <v>Fine / Clear</v>
      </c>
      <c r="AN408">
        <v>2</v>
      </c>
      <c r="AO408" t="str">
        <f>VLOOKUP(AN408, Lookups!$B$41:$C$49, 2, FALSE)</f>
        <v>Wet / damp</v>
      </c>
      <c r="AP408">
        <v>-1</v>
      </c>
      <c r="AQ408">
        <v>-1</v>
      </c>
      <c r="AR408">
        <v>0</v>
      </c>
      <c r="AS408">
        <v>1</v>
      </c>
      <c r="AT408">
        <v>1</v>
      </c>
      <c r="AU408">
        <v>2</v>
      </c>
      <c r="AV408" t="s">
        <v>236</v>
      </c>
      <c r="AW408">
        <v>5</v>
      </c>
      <c r="AX408">
        <v>1</v>
      </c>
      <c r="AY408">
        <v>1</v>
      </c>
      <c r="AZ408">
        <v>0</v>
      </c>
    </row>
    <row r="409" spans="1:52" x14ac:dyDescent="0.35">
      <c r="A409">
        <v>2025221596615</v>
      </c>
      <c r="B409">
        <v>2025</v>
      </c>
      <c r="C409">
        <v>221596615</v>
      </c>
      <c r="D409">
        <v>374669</v>
      </c>
      <c r="E409">
        <v>267007</v>
      </c>
      <c r="F409">
        <v>-2.3728899999999999</v>
      </c>
      <c r="G409">
        <v>52.300600000000003</v>
      </c>
      <c r="H409">
        <v>22</v>
      </c>
      <c r="I409">
        <v>3</v>
      </c>
      <c r="J409" t="str">
        <f>VLOOKUP(I409, Lookups!$B$1:$C$4, 2, FALSE)</f>
        <v>Slight</v>
      </c>
      <c r="K409">
        <v>2</v>
      </c>
      <c r="L409">
        <v>2</v>
      </c>
      <c r="M409" s="1">
        <v>45807</v>
      </c>
      <c r="N409">
        <v>6</v>
      </c>
      <c r="O409" t="str">
        <f>VLOOKUP(N409, Lookups!$B$6:$C$12, 2, FALSE)</f>
        <v>Friday</v>
      </c>
      <c r="P409" s="2">
        <v>0.65972222222222221</v>
      </c>
      <c r="Q409">
        <v>-1</v>
      </c>
      <c r="R409" t="s">
        <v>49</v>
      </c>
      <c r="S409" t="s">
        <v>45</v>
      </c>
      <c r="T409" t="s">
        <v>45</v>
      </c>
      <c r="U409">
        <v>3</v>
      </c>
      <c r="V409" t="str">
        <f>VLOOKUP(U409, Lookups!$B$51:$C$57, 2, FALSE)</f>
        <v>A</v>
      </c>
      <c r="W409">
        <v>443</v>
      </c>
      <c r="X409" t="str">
        <f t="shared" ref="X409:X413" si="55">V409&amp;W409</f>
        <v>A443</v>
      </c>
      <c r="Y409">
        <v>6</v>
      </c>
      <c r="Z409" t="str">
        <f>VLOOKUP(Y409, Lookups!$B$14:$C$21, 2, FALSE)</f>
        <v>Single carriageway</v>
      </c>
      <c r="AA409">
        <v>40</v>
      </c>
      <c r="AB409">
        <v>-1</v>
      </c>
      <c r="AC409">
        <v>13</v>
      </c>
      <c r="AD409">
        <v>4</v>
      </c>
      <c r="AE409">
        <v>6</v>
      </c>
      <c r="AF409">
        <v>0</v>
      </c>
      <c r="AG409">
        <v>-1</v>
      </c>
      <c r="AH409">
        <v>-1</v>
      </c>
      <c r="AI409">
        <v>0</v>
      </c>
      <c r="AJ409">
        <v>1</v>
      </c>
      <c r="AK409" t="str">
        <f>VLOOKUP(AJ409, Lookups!$B$23:$C$28, 2, FALSE)</f>
        <v>Daylight</v>
      </c>
      <c r="AL409">
        <v>1</v>
      </c>
      <c r="AM409" t="str">
        <f>VLOOKUP(AL409, Lookups!$B$30:$C$39, 2, FALSE)</f>
        <v>Fine / Clear</v>
      </c>
      <c r="AN409">
        <v>1</v>
      </c>
      <c r="AO409" t="str">
        <f>VLOOKUP(AN409, Lookups!$B$41:$C$49, 2, FALSE)</f>
        <v>Dry</v>
      </c>
      <c r="AP409">
        <v>-1</v>
      </c>
      <c r="AQ409">
        <v>-1</v>
      </c>
      <c r="AR409">
        <v>0</v>
      </c>
      <c r="AS409">
        <v>2</v>
      </c>
      <c r="AT409">
        <v>1</v>
      </c>
      <c r="AU409">
        <v>2</v>
      </c>
      <c r="AV409" t="s">
        <v>76</v>
      </c>
      <c r="AW409">
        <v>3</v>
      </c>
      <c r="AX409">
        <v>1</v>
      </c>
      <c r="AY409">
        <v>0</v>
      </c>
      <c r="AZ409">
        <v>1</v>
      </c>
    </row>
    <row r="410" spans="1:52" x14ac:dyDescent="0.35">
      <c r="A410">
        <v>2025221633020</v>
      </c>
      <c r="B410">
        <v>2025</v>
      </c>
      <c r="C410">
        <v>221633020</v>
      </c>
      <c r="D410">
        <v>383081</v>
      </c>
      <c r="E410">
        <v>279139</v>
      </c>
      <c r="F410">
        <v>-2.2501500000000001</v>
      </c>
      <c r="G410">
        <v>52.409990000000001</v>
      </c>
      <c r="H410">
        <v>22</v>
      </c>
      <c r="I410">
        <v>3</v>
      </c>
      <c r="J410" t="str">
        <f>VLOOKUP(I410, Lookups!$B$1:$C$4, 2, FALSE)</f>
        <v>Slight</v>
      </c>
      <c r="K410">
        <v>2</v>
      </c>
      <c r="L410">
        <v>2</v>
      </c>
      <c r="M410" s="1">
        <v>45893</v>
      </c>
      <c r="N410">
        <v>1</v>
      </c>
      <c r="O410" t="str">
        <f>VLOOKUP(N410, Lookups!$B$6:$C$12, 2, FALSE)</f>
        <v>Sunday</v>
      </c>
      <c r="P410" s="2">
        <v>0.63888888888888884</v>
      </c>
      <c r="Q410">
        <v>-1</v>
      </c>
      <c r="R410" t="s">
        <v>44</v>
      </c>
      <c r="S410" t="s">
        <v>45</v>
      </c>
      <c r="T410" t="s">
        <v>45</v>
      </c>
      <c r="U410">
        <v>4</v>
      </c>
      <c r="V410" t="str">
        <f>VLOOKUP(U410, Lookups!$B$51:$C$57, 2, FALSE)</f>
        <v>B</v>
      </c>
      <c r="W410">
        <v>4189</v>
      </c>
      <c r="X410" t="str">
        <f t="shared" si="55"/>
        <v>B4189</v>
      </c>
      <c r="Y410">
        <v>6</v>
      </c>
      <c r="Z410" t="str">
        <f>VLOOKUP(Y410, Lookups!$B$14:$C$21, 2, FALSE)</f>
        <v>Single carriageway</v>
      </c>
      <c r="AA410">
        <v>30</v>
      </c>
      <c r="AB410">
        <v>-1</v>
      </c>
      <c r="AC410">
        <v>0</v>
      </c>
      <c r="AD410">
        <v>-1</v>
      </c>
      <c r="AE410">
        <v>6</v>
      </c>
      <c r="AF410">
        <v>0</v>
      </c>
      <c r="AG410">
        <v>-1</v>
      </c>
      <c r="AH410">
        <v>-1</v>
      </c>
      <c r="AI410">
        <v>0</v>
      </c>
      <c r="AJ410">
        <v>1</v>
      </c>
      <c r="AK410" t="str">
        <f>VLOOKUP(AJ410, Lookups!$B$23:$C$28, 2, FALSE)</f>
        <v>Daylight</v>
      </c>
      <c r="AL410">
        <v>1</v>
      </c>
      <c r="AM410" t="str">
        <f>VLOOKUP(AL410, Lookups!$B$30:$C$39, 2, FALSE)</f>
        <v>Fine / Clear</v>
      </c>
      <c r="AN410">
        <v>1</v>
      </c>
      <c r="AO410" t="str">
        <f>VLOOKUP(AN410, Lookups!$B$41:$C$49, 2, FALSE)</f>
        <v>Dry</v>
      </c>
      <c r="AP410">
        <v>-1</v>
      </c>
      <c r="AQ410">
        <v>-1</v>
      </c>
      <c r="AR410">
        <v>0</v>
      </c>
      <c r="AS410">
        <v>1</v>
      </c>
      <c r="AT410">
        <v>3</v>
      </c>
      <c r="AU410">
        <v>2</v>
      </c>
      <c r="AV410" t="s">
        <v>175</v>
      </c>
      <c r="AW410">
        <v>3</v>
      </c>
      <c r="AX410">
        <v>1</v>
      </c>
      <c r="AY410">
        <v>0</v>
      </c>
      <c r="AZ410">
        <v>1</v>
      </c>
    </row>
    <row r="411" spans="1:52" x14ac:dyDescent="0.35">
      <c r="A411">
        <v>2025221543053</v>
      </c>
      <c r="B411">
        <v>2025</v>
      </c>
      <c r="C411">
        <v>221543053</v>
      </c>
      <c r="D411">
        <v>377777</v>
      </c>
      <c r="E411">
        <v>264688</v>
      </c>
      <c r="F411">
        <v>-2.3271600000000001</v>
      </c>
      <c r="G411">
        <v>52.279879999999999</v>
      </c>
      <c r="H411">
        <v>22</v>
      </c>
      <c r="I411">
        <v>3</v>
      </c>
      <c r="J411" t="str">
        <f>VLOOKUP(I411, Lookups!$B$1:$C$4, 2, FALSE)</f>
        <v>Slight</v>
      </c>
      <c r="K411">
        <v>2</v>
      </c>
      <c r="L411">
        <v>1</v>
      </c>
      <c r="M411" s="1">
        <v>45672</v>
      </c>
      <c r="N411">
        <v>4</v>
      </c>
      <c r="O411" t="str">
        <f>VLOOKUP(N411, Lookups!$B$6:$C$12, 2, FALSE)</f>
        <v>Wednesday</v>
      </c>
      <c r="P411" s="2">
        <v>0.42291666666666666</v>
      </c>
      <c r="Q411">
        <v>-1</v>
      </c>
      <c r="R411" t="s">
        <v>49</v>
      </c>
      <c r="S411" t="s">
        <v>45</v>
      </c>
      <c r="T411" t="s">
        <v>45</v>
      </c>
      <c r="U411">
        <v>3</v>
      </c>
      <c r="V411" t="str">
        <f>VLOOKUP(U411, Lookups!$B$51:$C$57, 2, FALSE)</f>
        <v>A</v>
      </c>
      <c r="W411">
        <v>443</v>
      </c>
      <c r="X411" t="str">
        <f t="shared" si="55"/>
        <v>A443</v>
      </c>
      <c r="Y411">
        <v>6</v>
      </c>
      <c r="Z411" t="str">
        <f>VLOOKUP(Y411, Lookups!$B$14:$C$21, 2, FALSE)</f>
        <v>Single carriageway</v>
      </c>
      <c r="AA411">
        <v>60</v>
      </c>
      <c r="AB411">
        <v>-1</v>
      </c>
      <c r="AC411">
        <v>0</v>
      </c>
      <c r="AD411">
        <v>-1</v>
      </c>
      <c r="AE411">
        <v>6</v>
      </c>
      <c r="AF411">
        <v>0</v>
      </c>
      <c r="AG411">
        <v>-1</v>
      </c>
      <c r="AH411">
        <v>-1</v>
      </c>
      <c r="AI411">
        <v>0</v>
      </c>
      <c r="AJ411">
        <v>1</v>
      </c>
      <c r="AK411" t="str">
        <f>VLOOKUP(AJ411, Lookups!$B$23:$C$28, 2, FALSE)</f>
        <v>Daylight</v>
      </c>
      <c r="AL411">
        <v>8</v>
      </c>
      <c r="AM411" t="str">
        <f>VLOOKUP(AL411, Lookups!$B$30:$C$39, 2, FALSE)</f>
        <v>Other</v>
      </c>
      <c r="AN411">
        <v>2</v>
      </c>
      <c r="AO411" t="str">
        <f>VLOOKUP(AN411, Lookups!$B$41:$C$49, 2, FALSE)</f>
        <v>Wet / damp</v>
      </c>
      <c r="AP411">
        <v>-1</v>
      </c>
      <c r="AQ411">
        <v>-1</v>
      </c>
      <c r="AR411">
        <v>13</v>
      </c>
      <c r="AS411">
        <v>2</v>
      </c>
      <c r="AT411">
        <v>1</v>
      </c>
      <c r="AU411">
        <v>2</v>
      </c>
      <c r="AV411" t="s">
        <v>76</v>
      </c>
      <c r="AW411">
        <v>3</v>
      </c>
      <c r="AX411">
        <v>1</v>
      </c>
      <c r="AY411">
        <v>0</v>
      </c>
      <c r="AZ411">
        <v>1</v>
      </c>
    </row>
    <row r="412" spans="1:52" x14ac:dyDescent="0.35">
      <c r="A412">
        <v>2025221570582</v>
      </c>
      <c r="B412">
        <v>2025</v>
      </c>
      <c r="C412">
        <v>221570582</v>
      </c>
      <c r="D412">
        <v>405488</v>
      </c>
      <c r="E412">
        <v>243769</v>
      </c>
      <c r="F412">
        <v>-1.9213100000000001</v>
      </c>
      <c r="G412">
        <v>52.092239999999997</v>
      </c>
      <c r="H412">
        <v>22</v>
      </c>
      <c r="I412">
        <v>3</v>
      </c>
      <c r="J412" t="str">
        <f>VLOOKUP(I412, Lookups!$B$1:$C$4, 2, FALSE)</f>
        <v>Slight</v>
      </c>
      <c r="K412">
        <v>1</v>
      </c>
      <c r="L412">
        <v>1</v>
      </c>
      <c r="M412" s="1">
        <v>45727</v>
      </c>
      <c r="N412">
        <v>3</v>
      </c>
      <c r="O412" t="str">
        <f>VLOOKUP(N412, Lookups!$B$6:$C$12, 2, FALSE)</f>
        <v>Tuesday</v>
      </c>
      <c r="P412" s="2">
        <v>0.89583333333333337</v>
      </c>
      <c r="Q412">
        <v>-1</v>
      </c>
      <c r="R412" t="s">
        <v>54</v>
      </c>
      <c r="S412" t="s">
        <v>45</v>
      </c>
      <c r="T412" t="s">
        <v>45</v>
      </c>
      <c r="U412">
        <v>3</v>
      </c>
      <c r="V412" t="str">
        <f>VLOOKUP(U412, Lookups!$B$51:$C$57, 2, FALSE)</f>
        <v>A</v>
      </c>
      <c r="W412">
        <v>46</v>
      </c>
      <c r="X412" t="str">
        <f t="shared" si="55"/>
        <v>A46</v>
      </c>
      <c r="Y412">
        <v>1</v>
      </c>
      <c r="Z412" t="str">
        <f>VLOOKUP(Y412, Lookups!$B$14:$C$21, 2, FALSE)</f>
        <v>Roundabout</v>
      </c>
      <c r="AA412">
        <v>60</v>
      </c>
      <c r="AB412">
        <v>-1</v>
      </c>
      <c r="AC412">
        <v>-1</v>
      </c>
      <c r="AD412">
        <v>4</v>
      </c>
      <c r="AE412">
        <v>4</v>
      </c>
      <c r="AF412">
        <v>4035</v>
      </c>
      <c r="AG412">
        <v>-1</v>
      </c>
      <c r="AH412">
        <v>-1</v>
      </c>
      <c r="AI412">
        <v>0</v>
      </c>
      <c r="AJ412">
        <v>4</v>
      </c>
      <c r="AK412" t="str">
        <f>VLOOKUP(AJ412, Lookups!$B$23:$C$28, 2, FALSE)</f>
        <v>Darkness (Lit)</v>
      </c>
      <c r="AL412">
        <v>1</v>
      </c>
      <c r="AM412" t="str">
        <f>VLOOKUP(AL412, Lookups!$B$30:$C$39, 2, FALSE)</f>
        <v>Fine / Clear</v>
      </c>
      <c r="AN412">
        <v>1</v>
      </c>
      <c r="AO412" t="str">
        <f>VLOOKUP(AN412, Lookups!$B$41:$C$49, 2, FALSE)</f>
        <v>Dry</v>
      </c>
      <c r="AP412">
        <v>-1</v>
      </c>
      <c r="AQ412">
        <v>-1</v>
      </c>
      <c r="AR412">
        <v>12</v>
      </c>
      <c r="AS412">
        <v>2</v>
      </c>
      <c r="AT412">
        <v>1</v>
      </c>
      <c r="AU412">
        <v>1</v>
      </c>
      <c r="AV412" t="s">
        <v>258</v>
      </c>
      <c r="AW412">
        <v>3</v>
      </c>
      <c r="AX412">
        <v>1</v>
      </c>
      <c r="AY412">
        <v>0</v>
      </c>
      <c r="AZ412">
        <v>1</v>
      </c>
    </row>
    <row r="413" spans="1:52" x14ac:dyDescent="0.35">
      <c r="A413">
        <v>2025221565617</v>
      </c>
      <c r="B413">
        <v>2025</v>
      </c>
      <c r="C413">
        <v>221565617</v>
      </c>
      <c r="D413">
        <v>397012</v>
      </c>
      <c r="E413">
        <v>275618</v>
      </c>
      <c r="F413">
        <v>-2.0453199999999998</v>
      </c>
      <c r="G413">
        <v>52.378590000000003</v>
      </c>
      <c r="H413">
        <v>22</v>
      </c>
      <c r="I413">
        <v>2</v>
      </c>
      <c r="J413" t="str">
        <f>VLOOKUP(I413, Lookups!$B$1:$C$4, 2, FALSE)</f>
        <v>Serious</v>
      </c>
      <c r="K413">
        <v>2</v>
      </c>
      <c r="L413">
        <v>2</v>
      </c>
      <c r="M413" s="1">
        <v>45731</v>
      </c>
      <c r="N413">
        <v>7</v>
      </c>
      <c r="O413" t="str">
        <f>VLOOKUP(N413, Lookups!$B$6:$C$12, 2, FALSE)</f>
        <v>Saturday</v>
      </c>
      <c r="P413" s="2">
        <v>0.73263888888888884</v>
      </c>
      <c r="Q413">
        <v>-1</v>
      </c>
      <c r="R413" t="s">
        <v>47</v>
      </c>
      <c r="S413" t="s">
        <v>45</v>
      </c>
      <c r="T413" t="s">
        <v>45</v>
      </c>
      <c r="U413">
        <v>3</v>
      </c>
      <c r="V413" t="str">
        <f>VLOOKUP(U413, Lookups!$B$51:$C$57, 2, FALSE)</f>
        <v>A</v>
      </c>
      <c r="W413">
        <v>38</v>
      </c>
      <c r="X413" t="str">
        <f t="shared" si="55"/>
        <v>A38</v>
      </c>
      <c r="Y413">
        <v>1</v>
      </c>
      <c r="Z413" t="str">
        <f>VLOOKUP(Y413, Lookups!$B$14:$C$21, 2, FALSE)</f>
        <v>Roundabout</v>
      </c>
      <c r="AA413">
        <v>50</v>
      </c>
      <c r="AB413">
        <v>-1</v>
      </c>
      <c r="AC413">
        <v>-1</v>
      </c>
      <c r="AD413">
        <v>2</v>
      </c>
      <c r="AE413">
        <v>3</v>
      </c>
      <c r="AF413">
        <v>38</v>
      </c>
      <c r="AG413">
        <v>-1</v>
      </c>
      <c r="AH413">
        <v>-1</v>
      </c>
      <c r="AI413">
        <v>0</v>
      </c>
      <c r="AJ413">
        <v>1</v>
      </c>
      <c r="AK413" t="str">
        <f>VLOOKUP(AJ413, Lookups!$B$23:$C$28, 2, FALSE)</f>
        <v>Daylight</v>
      </c>
      <c r="AL413">
        <v>1</v>
      </c>
      <c r="AM413" t="str">
        <f>VLOOKUP(AL413, Lookups!$B$30:$C$39, 2, FALSE)</f>
        <v>Fine / Clear</v>
      </c>
      <c r="AN413">
        <v>1</v>
      </c>
      <c r="AO413" t="str">
        <f>VLOOKUP(AN413, Lookups!$B$41:$C$49, 2, FALSE)</f>
        <v>Dry</v>
      </c>
      <c r="AP413">
        <v>-1</v>
      </c>
      <c r="AQ413">
        <v>-1</v>
      </c>
      <c r="AR413">
        <v>0</v>
      </c>
      <c r="AS413">
        <v>2</v>
      </c>
      <c r="AT413">
        <v>1</v>
      </c>
      <c r="AU413">
        <v>2</v>
      </c>
      <c r="AV413" t="s">
        <v>259</v>
      </c>
      <c r="AW413">
        <v>7</v>
      </c>
      <c r="AX413">
        <v>1</v>
      </c>
      <c r="AY413">
        <v>1</v>
      </c>
      <c r="AZ413">
        <v>0</v>
      </c>
    </row>
    <row r="414" spans="1:52" x14ac:dyDescent="0.35">
      <c r="A414">
        <v>2025221596638</v>
      </c>
      <c r="B414">
        <v>2025</v>
      </c>
      <c r="C414">
        <v>221596638</v>
      </c>
      <c r="D414">
        <v>403759</v>
      </c>
      <c r="E414">
        <v>243787</v>
      </c>
      <c r="F414">
        <v>-1.94655</v>
      </c>
      <c r="G414">
        <v>52.092419999999997</v>
      </c>
      <c r="H414">
        <v>22</v>
      </c>
      <c r="I414">
        <v>3</v>
      </c>
      <c r="J414" t="str">
        <f>VLOOKUP(I414, Lookups!$B$1:$C$4, 2, FALSE)</f>
        <v>Slight</v>
      </c>
      <c r="K414">
        <v>2</v>
      </c>
      <c r="L414">
        <v>1</v>
      </c>
      <c r="M414" s="1">
        <v>45807</v>
      </c>
      <c r="N414">
        <v>6</v>
      </c>
      <c r="O414" t="str">
        <f>VLOOKUP(N414, Lookups!$B$6:$C$12, 2, FALSE)</f>
        <v>Friday</v>
      </c>
      <c r="P414" s="2">
        <v>0.79166666666666663</v>
      </c>
      <c r="Q414">
        <v>-1</v>
      </c>
      <c r="R414" t="s">
        <v>54</v>
      </c>
      <c r="S414" t="s">
        <v>45</v>
      </c>
      <c r="T414" t="s">
        <v>45</v>
      </c>
      <c r="U414">
        <v>6</v>
      </c>
      <c r="V414" t="str">
        <f>VLOOKUP(U414, Lookups!$B$51:$C$57, 2, FALSE)</f>
        <v>Unclassified</v>
      </c>
      <c r="W414">
        <v>0</v>
      </c>
      <c r="X414" t="s">
        <v>362</v>
      </c>
      <c r="Y414">
        <v>2</v>
      </c>
      <c r="Z414" t="str">
        <f>VLOOKUP(Y414, Lookups!$B$14:$C$21, 2, FALSE)</f>
        <v>One way street</v>
      </c>
      <c r="AA414">
        <v>30</v>
      </c>
      <c r="AB414">
        <v>-1</v>
      </c>
      <c r="AC414">
        <v>0</v>
      </c>
      <c r="AD414">
        <v>-1</v>
      </c>
      <c r="AE414">
        <v>3</v>
      </c>
      <c r="AF414">
        <v>4184</v>
      </c>
      <c r="AG414">
        <v>-1</v>
      </c>
      <c r="AH414">
        <v>-1</v>
      </c>
      <c r="AI414">
        <v>0</v>
      </c>
      <c r="AJ414">
        <v>1</v>
      </c>
      <c r="AK414" t="str">
        <f>VLOOKUP(AJ414, Lookups!$B$23:$C$28, 2, FALSE)</f>
        <v>Daylight</v>
      </c>
      <c r="AL414">
        <v>1</v>
      </c>
      <c r="AM414" t="str">
        <f>VLOOKUP(AL414, Lookups!$B$30:$C$39, 2, FALSE)</f>
        <v>Fine / Clear</v>
      </c>
      <c r="AN414">
        <v>1</v>
      </c>
      <c r="AO414" t="str">
        <f>VLOOKUP(AN414, Lookups!$B$41:$C$49, 2, FALSE)</f>
        <v>Dry</v>
      </c>
      <c r="AP414">
        <v>-1</v>
      </c>
      <c r="AQ414">
        <v>-1</v>
      </c>
      <c r="AR414">
        <v>0</v>
      </c>
      <c r="AS414">
        <v>1</v>
      </c>
      <c r="AT414">
        <v>1</v>
      </c>
      <c r="AU414">
        <v>2</v>
      </c>
      <c r="AV414" t="s">
        <v>67</v>
      </c>
      <c r="AW414">
        <v>3</v>
      </c>
      <c r="AX414">
        <v>1</v>
      </c>
      <c r="AY414">
        <v>0</v>
      </c>
      <c r="AZ414">
        <v>1</v>
      </c>
    </row>
    <row r="415" spans="1:52" x14ac:dyDescent="0.35">
      <c r="A415">
        <v>2025221599504</v>
      </c>
      <c r="B415">
        <v>2025</v>
      </c>
      <c r="C415">
        <v>221599504</v>
      </c>
      <c r="D415">
        <v>397121</v>
      </c>
      <c r="E415">
        <v>282445</v>
      </c>
      <c r="F415">
        <v>-2.0437799999999999</v>
      </c>
      <c r="G415">
        <v>52.439970000000002</v>
      </c>
      <c r="H415">
        <v>22</v>
      </c>
      <c r="I415">
        <v>3</v>
      </c>
      <c r="J415" t="str">
        <f>VLOOKUP(I415, Lookups!$B$1:$C$4, 2, FALSE)</f>
        <v>Slight</v>
      </c>
      <c r="K415">
        <v>2</v>
      </c>
      <c r="L415">
        <v>3</v>
      </c>
      <c r="M415" s="1">
        <v>45813</v>
      </c>
      <c r="N415">
        <v>5</v>
      </c>
      <c r="O415" t="str">
        <f>VLOOKUP(N415, Lookups!$B$6:$C$12, 2, FALSE)</f>
        <v>Thursday</v>
      </c>
      <c r="P415" s="2">
        <v>0.73124999999999996</v>
      </c>
      <c r="Q415">
        <v>-1</v>
      </c>
      <c r="R415" t="s">
        <v>47</v>
      </c>
      <c r="S415" t="s">
        <v>45</v>
      </c>
      <c r="T415" t="s">
        <v>45</v>
      </c>
      <c r="U415">
        <v>4</v>
      </c>
      <c r="V415" t="str">
        <f>VLOOKUP(U415, Lookups!$B$51:$C$57, 2, FALSE)</f>
        <v>B</v>
      </c>
      <c r="W415">
        <v>4551</v>
      </c>
      <c r="X415" t="str">
        <f>V415&amp;W415</f>
        <v>B4551</v>
      </c>
      <c r="Y415">
        <v>6</v>
      </c>
      <c r="Z415" t="str">
        <f>VLOOKUP(Y415, Lookups!$B$14:$C$21, 2, FALSE)</f>
        <v>Single carriageway</v>
      </c>
      <c r="AA415">
        <v>30</v>
      </c>
      <c r="AB415">
        <v>-1</v>
      </c>
      <c r="AC415">
        <v>13</v>
      </c>
      <c r="AD415">
        <v>4</v>
      </c>
      <c r="AE415">
        <v>6</v>
      </c>
      <c r="AF415">
        <v>0</v>
      </c>
      <c r="AG415">
        <v>-1</v>
      </c>
      <c r="AH415">
        <v>-1</v>
      </c>
      <c r="AI415">
        <v>0</v>
      </c>
      <c r="AJ415">
        <v>1</v>
      </c>
      <c r="AK415" t="str">
        <f>VLOOKUP(AJ415, Lookups!$B$23:$C$28, 2, FALSE)</f>
        <v>Daylight</v>
      </c>
      <c r="AL415">
        <v>2</v>
      </c>
      <c r="AM415" t="str">
        <f>VLOOKUP(AL415, Lookups!$B$30:$C$39, 2, FALSE)</f>
        <v>Rain</v>
      </c>
      <c r="AN415">
        <v>2</v>
      </c>
      <c r="AO415" t="str">
        <f>VLOOKUP(AN415, Lookups!$B$41:$C$49, 2, FALSE)</f>
        <v>Wet / damp</v>
      </c>
      <c r="AP415">
        <v>-1</v>
      </c>
      <c r="AQ415">
        <v>-1</v>
      </c>
      <c r="AR415">
        <v>0</v>
      </c>
      <c r="AS415">
        <v>2</v>
      </c>
      <c r="AT415">
        <v>1</v>
      </c>
      <c r="AU415">
        <v>2</v>
      </c>
      <c r="AV415" t="s">
        <v>149</v>
      </c>
      <c r="AW415">
        <v>3</v>
      </c>
      <c r="AX415">
        <v>1</v>
      </c>
      <c r="AY415">
        <v>0</v>
      </c>
      <c r="AZ415">
        <v>1</v>
      </c>
    </row>
    <row r="416" spans="1:52" x14ac:dyDescent="0.35">
      <c r="A416">
        <v>2025221546368</v>
      </c>
      <c r="B416">
        <v>2025</v>
      </c>
      <c r="C416">
        <v>221546368</v>
      </c>
      <c r="D416">
        <v>396024</v>
      </c>
      <c r="E416">
        <v>270557</v>
      </c>
      <c r="F416">
        <v>-2.0597699999999999</v>
      </c>
      <c r="G416">
        <v>52.333089999999999</v>
      </c>
      <c r="H416">
        <v>22</v>
      </c>
      <c r="I416">
        <v>3</v>
      </c>
      <c r="J416" t="str">
        <f>VLOOKUP(I416, Lookups!$B$1:$C$4, 2, FALSE)</f>
        <v>Slight</v>
      </c>
      <c r="K416">
        <v>1</v>
      </c>
      <c r="L416">
        <v>1</v>
      </c>
      <c r="M416" s="1">
        <v>45683</v>
      </c>
      <c r="N416">
        <v>1</v>
      </c>
      <c r="O416" t="str">
        <f>VLOOKUP(N416, Lookups!$B$6:$C$12, 2, FALSE)</f>
        <v>Sunday</v>
      </c>
      <c r="P416" s="2">
        <v>0.50694444444444442</v>
      </c>
      <c r="Q416">
        <v>-1</v>
      </c>
      <c r="R416" t="s">
        <v>47</v>
      </c>
      <c r="S416" t="s">
        <v>45</v>
      </c>
      <c r="T416" t="s">
        <v>45</v>
      </c>
      <c r="U416">
        <v>6</v>
      </c>
      <c r="V416" t="str">
        <f>VLOOKUP(U416, Lookups!$B$51:$C$57, 2, FALSE)</f>
        <v>Unclassified</v>
      </c>
      <c r="W416">
        <v>0</v>
      </c>
      <c r="X416" t="s">
        <v>362</v>
      </c>
      <c r="Y416">
        <v>6</v>
      </c>
      <c r="Z416" t="str">
        <f>VLOOKUP(Y416, Lookups!$B$14:$C$21, 2, FALSE)</f>
        <v>Single carriageway</v>
      </c>
      <c r="AA416">
        <v>30</v>
      </c>
      <c r="AB416">
        <v>-1</v>
      </c>
      <c r="AC416">
        <v>19</v>
      </c>
      <c r="AD416">
        <v>4</v>
      </c>
      <c r="AE416">
        <v>6</v>
      </c>
      <c r="AF416">
        <v>0</v>
      </c>
      <c r="AG416">
        <v>-1</v>
      </c>
      <c r="AH416">
        <v>-1</v>
      </c>
      <c r="AI416">
        <v>0</v>
      </c>
      <c r="AJ416">
        <v>1</v>
      </c>
      <c r="AK416" t="str">
        <f>VLOOKUP(AJ416, Lookups!$B$23:$C$28, 2, FALSE)</f>
        <v>Daylight</v>
      </c>
      <c r="AL416">
        <v>1</v>
      </c>
      <c r="AM416" t="str">
        <f>VLOOKUP(AL416, Lookups!$B$30:$C$39, 2, FALSE)</f>
        <v>Fine / Clear</v>
      </c>
      <c r="AN416">
        <v>2</v>
      </c>
      <c r="AO416" t="str">
        <f>VLOOKUP(AN416, Lookups!$B$41:$C$49, 2, FALSE)</f>
        <v>Wet / damp</v>
      </c>
      <c r="AP416">
        <v>-1</v>
      </c>
      <c r="AQ416">
        <v>-1</v>
      </c>
      <c r="AR416">
        <v>0</v>
      </c>
      <c r="AS416">
        <v>1</v>
      </c>
      <c r="AT416">
        <v>3</v>
      </c>
      <c r="AU416">
        <v>2</v>
      </c>
      <c r="AV416" t="s">
        <v>51</v>
      </c>
      <c r="AW416">
        <v>3</v>
      </c>
      <c r="AX416">
        <v>1</v>
      </c>
      <c r="AY416">
        <v>0</v>
      </c>
      <c r="AZ416">
        <v>1</v>
      </c>
    </row>
    <row r="417" spans="1:52" x14ac:dyDescent="0.35">
      <c r="A417">
        <v>2025221658037</v>
      </c>
      <c r="B417">
        <v>2025</v>
      </c>
      <c r="C417">
        <v>221658037</v>
      </c>
      <c r="D417">
        <v>395946</v>
      </c>
      <c r="E417">
        <v>270901</v>
      </c>
      <c r="F417">
        <v>-2.0609199999999999</v>
      </c>
      <c r="G417">
        <v>52.336179999999999</v>
      </c>
      <c r="H417">
        <v>22</v>
      </c>
      <c r="I417">
        <v>3</v>
      </c>
      <c r="J417" t="str">
        <f>VLOOKUP(I417, Lookups!$B$1:$C$4, 2, FALSE)</f>
        <v>Slight</v>
      </c>
      <c r="K417">
        <v>1</v>
      </c>
      <c r="L417">
        <v>1</v>
      </c>
      <c r="M417" s="1">
        <v>45950</v>
      </c>
      <c r="N417">
        <v>2</v>
      </c>
      <c r="O417" t="str">
        <f>VLOOKUP(N417, Lookups!$B$6:$C$12, 2, FALSE)</f>
        <v>Monday</v>
      </c>
      <c r="P417" s="2">
        <v>0.30208333333333331</v>
      </c>
      <c r="Q417">
        <v>-1</v>
      </c>
      <c r="R417" t="s">
        <v>47</v>
      </c>
      <c r="S417" t="s">
        <v>45</v>
      </c>
      <c r="T417" t="s">
        <v>45</v>
      </c>
      <c r="U417">
        <v>3</v>
      </c>
      <c r="V417" t="str">
        <f>VLOOKUP(U417, Lookups!$B$51:$C$57, 2, FALSE)</f>
        <v>A</v>
      </c>
      <c r="W417">
        <v>448</v>
      </c>
      <c r="X417" t="str">
        <f>V417&amp;W417</f>
        <v>A448</v>
      </c>
      <c r="Y417">
        <v>6</v>
      </c>
      <c r="Z417" t="str">
        <f>VLOOKUP(Y417, Lookups!$B$14:$C$21, 2, FALSE)</f>
        <v>Single carriageway</v>
      </c>
      <c r="AA417">
        <v>30</v>
      </c>
      <c r="AB417">
        <v>-1</v>
      </c>
      <c r="AC417">
        <v>13</v>
      </c>
      <c r="AD417">
        <v>4</v>
      </c>
      <c r="AE417">
        <v>6</v>
      </c>
      <c r="AF417">
        <v>0</v>
      </c>
      <c r="AG417">
        <v>-1</v>
      </c>
      <c r="AH417">
        <v>-1</v>
      </c>
      <c r="AI417">
        <v>14</v>
      </c>
      <c r="AJ417">
        <v>4</v>
      </c>
      <c r="AK417" t="str">
        <f>VLOOKUP(AJ417, Lookups!$B$23:$C$28, 2, FALSE)</f>
        <v>Darkness (Lit)</v>
      </c>
      <c r="AL417">
        <v>1</v>
      </c>
      <c r="AM417" t="str">
        <f>VLOOKUP(AL417, Lookups!$B$30:$C$39, 2, FALSE)</f>
        <v>Fine / Clear</v>
      </c>
      <c r="AN417">
        <v>1</v>
      </c>
      <c r="AO417" t="str">
        <f>VLOOKUP(AN417, Lookups!$B$41:$C$49, 2, FALSE)</f>
        <v>Dry</v>
      </c>
      <c r="AP417">
        <v>-1</v>
      </c>
      <c r="AQ417">
        <v>-1</v>
      </c>
      <c r="AR417">
        <v>0</v>
      </c>
      <c r="AS417">
        <v>1</v>
      </c>
      <c r="AT417">
        <v>3</v>
      </c>
      <c r="AU417">
        <v>2</v>
      </c>
      <c r="AV417" t="s">
        <v>71</v>
      </c>
      <c r="AW417">
        <v>3</v>
      </c>
      <c r="AX417">
        <v>1</v>
      </c>
      <c r="AY417">
        <v>0</v>
      </c>
      <c r="AZ417">
        <v>1</v>
      </c>
    </row>
    <row r="418" spans="1:52" x14ac:dyDescent="0.35">
      <c r="A418">
        <v>2025221636144</v>
      </c>
      <c r="B418">
        <v>2025</v>
      </c>
      <c r="C418">
        <v>221636144</v>
      </c>
      <c r="D418">
        <v>381407</v>
      </c>
      <c r="E418">
        <v>272414</v>
      </c>
      <c r="F418">
        <v>-2.2743799999999998</v>
      </c>
      <c r="G418">
        <v>52.34948</v>
      </c>
      <c r="H418">
        <v>22</v>
      </c>
      <c r="I418">
        <v>3</v>
      </c>
      <c r="J418" t="str">
        <f>VLOOKUP(I418, Lookups!$B$1:$C$4, 2, FALSE)</f>
        <v>Slight</v>
      </c>
      <c r="K418">
        <v>2</v>
      </c>
      <c r="L418">
        <v>2</v>
      </c>
      <c r="M418" s="1">
        <v>45898</v>
      </c>
      <c r="N418">
        <v>6</v>
      </c>
      <c r="O418" t="str">
        <f>VLOOKUP(N418, Lookups!$B$6:$C$12, 2, FALSE)</f>
        <v>Friday</v>
      </c>
      <c r="P418" s="2">
        <v>0.66666666666666663</v>
      </c>
      <c r="Q418">
        <v>-1</v>
      </c>
      <c r="R418" t="s">
        <v>44</v>
      </c>
      <c r="S418" t="s">
        <v>45</v>
      </c>
      <c r="T418" t="s">
        <v>45</v>
      </c>
      <c r="U418">
        <v>6</v>
      </c>
      <c r="V418" t="str">
        <f>VLOOKUP(U418, Lookups!$B$51:$C$57, 2, FALSE)</f>
        <v>Unclassified</v>
      </c>
      <c r="W418">
        <v>0</v>
      </c>
      <c r="X418" t="s">
        <v>362</v>
      </c>
      <c r="Y418">
        <v>6</v>
      </c>
      <c r="Z418" t="str">
        <f>VLOOKUP(Y418, Lookups!$B$14:$C$21, 2, FALSE)</f>
        <v>Single carriageway</v>
      </c>
      <c r="AA418">
        <v>30</v>
      </c>
      <c r="AB418">
        <v>-1</v>
      </c>
      <c r="AC418">
        <v>13</v>
      </c>
      <c r="AD418">
        <v>4</v>
      </c>
      <c r="AE418">
        <v>3</v>
      </c>
      <c r="AF418">
        <v>451</v>
      </c>
      <c r="AG418">
        <v>-1</v>
      </c>
      <c r="AH418">
        <v>-1</v>
      </c>
      <c r="AI418">
        <v>0</v>
      </c>
      <c r="AJ418">
        <v>1</v>
      </c>
      <c r="AK418" t="str">
        <f>VLOOKUP(AJ418, Lookups!$B$23:$C$28, 2, FALSE)</f>
        <v>Daylight</v>
      </c>
      <c r="AL418">
        <v>1</v>
      </c>
      <c r="AM418" t="str">
        <f>VLOOKUP(AL418, Lookups!$B$30:$C$39, 2, FALSE)</f>
        <v>Fine / Clear</v>
      </c>
      <c r="AN418">
        <v>1</v>
      </c>
      <c r="AO418" t="str">
        <f>VLOOKUP(AN418, Lookups!$B$41:$C$49, 2, FALSE)</f>
        <v>Dry</v>
      </c>
      <c r="AP418">
        <v>-1</v>
      </c>
      <c r="AQ418">
        <v>-1</v>
      </c>
      <c r="AR418">
        <v>0</v>
      </c>
      <c r="AS418">
        <v>2</v>
      </c>
      <c r="AT418">
        <v>1</v>
      </c>
      <c r="AU418">
        <v>2</v>
      </c>
      <c r="AV418" t="s">
        <v>110</v>
      </c>
      <c r="AW418">
        <v>3</v>
      </c>
      <c r="AX418">
        <v>1</v>
      </c>
      <c r="AY418">
        <v>0</v>
      </c>
      <c r="AZ418">
        <v>1</v>
      </c>
    </row>
    <row r="419" spans="1:52" x14ac:dyDescent="0.35">
      <c r="A419">
        <v>2025221584682</v>
      </c>
      <c r="B419">
        <v>2025</v>
      </c>
      <c r="C419">
        <v>221584682</v>
      </c>
      <c r="D419">
        <v>390237</v>
      </c>
      <c r="E419">
        <v>240114</v>
      </c>
      <c r="F419">
        <v>-2.1438100000000002</v>
      </c>
      <c r="G419">
        <v>52.05932</v>
      </c>
      <c r="H419">
        <v>22</v>
      </c>
      <c r="I419">
        <v>2</v>
      </c>
      <c r="J419" t="str">
        <f>VLOOKUP(I419, Lookups!$B$1:$C$4, 2, FALSE)</f>
        <v>Serious</v>
      </c>
      <c r="K419">
        <v>2</v>
      </c>
      <c r="L419">
        <v>1</v>
      </c>
      <c r="M419" s="1">
        <v>45778</v>
      </c>
      <c r="N419">
        <v>5</v>
      </c>
      <c r="O419" t="str">
        <f>VLOOKUP(N419, Lookups!$B$6:$C$12, 2, FALSE)</f>
        <v>Thursday</v>
      </c>
      <c r="P419" s="2">
        <v>0.9375</v>
      </c>
      <c r="Q419">
        <v>-1</v>
      </c>
      <c r="R419" t="s">
        <v>54</v>
      </c>
      <c r="S419" t="s">
        <v>45</v>
      </c>
      <c r="T419" t="s">
        <v>45</v>
      </c>
      <c r="U419">
        <v>6</v>
      </c>
      <c r="V419" t="str">
        <f>VLOOKUP(U419, Lookups!$B$51:$C$57, 2, FALSE)</f>
        <v>Unclassified</v>
      </c>
      <c r="W419">
        <v>0</v>
      </c>
      <c r="X419" t="s">
        <v>362</v>
      </c>
      <c r="Y419">
        <v>6</v>
      </c>
      <c r="Z419" t="str">
        <f>VLOOKUP(Y419, Lookups!$B$14:$C$21, 2, FALSE)</f>
        <v>Single carriageway</v>
      </c>
      <c r="AA419">
        <v>60</v>
      </c>
      <c r="AB419">
        <v>-1</v>
      </c>
      <c r="AC419">
        <v>13</v>
      </c>
      <c r="AD419">
        <v>4</v>
      </c>
      <c r="AE419">
        <v>6</v>
      </c>
      <c r="AF419">
        <v>0</v>
      </c>
      <c r="AG419">
        <v>-1</v>
      </c>
      <c r="AH419">
        <v>-1</v>
      </c>
      <c r="AI419">
        <v>0</v>
      </c>
      <c r="AJ419">
        <v>6</v>
      </c>
      <c r="AK419" t="str">
        <f>VLOOKUP(AJ419, Lookups!$B$23:$C$28, 2, FALSE)</f>
        <v>Darkness (Unlit)</v>
      </c>
      <c r="AL419">
        <v>1</v>
      </c>
      <c r="AM419" t="str">
        <f>VLOOKUP(AL419, Lookups!$B$30:$C$39, 2, FALSE)</f>
        <v>Fine / Clear</v>
      </c>
      <c r="AN419">
        <v>1</v>
      </c>
      <c r="AO419" t="str">
        <f>VLOOKUP(AN419, Lookups!$B$41:$C$49, 2, FALSE)</f>
        <v>Dry</v>
      </c>
      <c r="AP419">
        <v>-1</v>
      </c>
      <c r="AQ419">
        <v>-1</v>
      </c>
      <c r="AR419">
        <v>0</v>
      </c>
      <c r="AS419">
        <v>2</v>
      </c>
      <c r="AT419">
        <v>1</v>
      </c>
      <c r="AU419">
        <v>2</v>
      </c>
      <c r="AV419" t="s">
        <v>86</v>
      </c>
      <c r="AW419">
        <v>5</v>
      </c>
      <c r="AX419">
        <v>1</v>
      </c>
      <c r="AY419">
        <v>1</v>
      </c>
      <c r="AZ419">
        <v>0</v>
      </c>
    </row>
    <row r="420" spans="1:52" x14ac:dyDescent="0.35">
      <c r="A420">
        <v>2025221605134</v>
      </c>
      <c r="B420">
        <v>2025</v>
      </c>
      <c r="C420">
        <v>221605134</v>
      </c>
      <c r="D420">
        <v>386858</v>
      </c>
      <c r="E420">
        <v>254658</v>
      </c>
      <c r="F420">
        <v>-2.1936599999999999</v>
      </c>
      <c r="G420">
        <v>52.19</v>
      </c>
      <c r="H420">
        <v>22</v>
      </c>
      <c r="I420">
        <v>3</v>
      </c>
      <c r="J420" t="str">
        <f>VLOOKUP(I420, Lookups!$B$1:$C$4, 2, FALSE)</f>
        <v>Slight</v>
      </c>
      <c r="K420">
        <v>2</v>
      </c>
      <c r="L420">
        <v>1</v>
      </c>
      <c r="M420" s="1">
        <v>45827</v>
      </c>
      <c r="N420">
        <v>5</v>
      </c>
      <c r="O420" t="str">
        <f>VLOOKUP(N420, Lookups!$B$6:$C$12, 2, FALSE)</f>
        <v>Thursday</v>
      </c>
      <c r="P420" s="2">
        <v>0.72916666666666663</v>
      </c>
      <c r="Q420">
        <v>-1</v>
      </c>
      <c r="R420" t="s">
        <v>60</v>
      </c>
      <c r="S420" t="s">
        <v>45</v>
      </c>
      <c r="T420" t="s">
        <v>45</v>
      </c>
      <c r="U420">
        <v>6</v>
      </c>
      <c r="V420" t="str">
        <f>VLOOKUP(U420, Lookups!$B$51:$C$57, 2, FALSE)</f>
        <v>Unclassified</v>
      </c>
      <c r="W420">
        <v>0</v>
      </c>
      <c r="X420" t="s">
        <v>362</v>
      </c>
      <c r="Y420">
        <v>6</v>
      </c>
      <c r="Z420" t="str">
        <f>VLOOKUP(Y420, Lookups!$B$14:$C$21, 2, FALSE)</f>
        <v>Single carriageway</v>
      </c>
      <c r="AA420">
        <v>30</v>
      </c>
      <c r="AB420">
        <v>-1</v>
      </c>
      <c r="AC420">
        <v>19</v>
      </c>
      <c r="AD420">
        <v>4</v>
      </c>
      <c r="AE420">
        <v>6</v>
      </c>
      <c r="AF420">
        <v>0</v>
      </c>
      <c r="AG420">
        <v>-1</v>
      </c>
      <c r="AH420">
        <v>-1</v>
      </c>
      <c r="AI420">
        <v>0</v>
      </c>
      <c r="AJ420">
        <v>1</v>
      </c>
      <c r="AK420" t="str">
        <f>VLOOKUP(AJ420, Lookups!$B$23:$C$28, 2, FALSE)</f>
        <v>Daylight</v>
      </c>
      <c r="AL420">
        <v>1</v>
      </c>
      <c r="AM420" t="str">
        <f>VLOOKUP(AL420, Lookups!$B$30:$C$39, 2, FALSE)</f>
        <v>Fine / Clear</v>
      </c>
      <c r="AN420">
        <v>1</v>
      </c>
      <c r="AO420" t="str">
        <f>VLOOKUP(AN420, Lookups!$B$41:$C$49, 2, FALSE)</f>
        <v>Dry</v>
      </c>
      <c r="AP420">
        <v>-1</v>
      </c>
      <c r="AQ420">
        <v>-1</v>
      </c>
      <c r="AR420">
        <v>0</v>
      </c>
      <c r="AS420">
        <v>1</v>
      </c>
      <c r="AT420">
        <v>3</v>
      </c>
      <c r="AU420">
        <v>2</v>
      </c>
      <c r="AV420" t="s">
        <v>260</v>
      </c>
      <c r="AW420">
        <v>3</v>
      </c>
      <c r="AX420">
        <v>1</v>
      </c>
      <c r="AY420">
        <v>0</v>
      </c>
      <c r="AZ420">
        <v>1</v>
      </c>
    </row>
    <row r="421" spans="1:52" x14ac:dyDescent="0.35">
      <c r="A421">
        <v>2025221616688</v>
      </c>
      <c r="B421">
        <v>2025</v>
      </c>
      <c r="C421">
        <v>221616688</v>
      </c>
      <c r="D421">
        <v>390702</v>
      </c>
      <c r="E421">
        <v>261557</v>
      </c>
      <c r="F421">
        <v>-2.1376200000000001</v>
      </c>
      <c r="G421">
        <v>52.252110000000002</v>
      </c>
      <c r="H421">
        <v>22</v>
      </c>
      <c r="I421">
        <v>3</v>
      </c>
      <c r="J421" t="str">
        <f>VLOOKUP(I421, Lookups!$B$1:$C$4, 2, FALSE)</f>
        <v>Slight</v>
      </c>
      <c r="K421">
        <v>2</v>
      </c>
      <c r="L421">
        <v>1</v>
      </c>
      <c r="M421" s="1">
        <v>45845</v>
      </c>
      <c r="N421">
        <v>2</v>
      </c>
      <c r="O421" t="str">
        <f>VLOOKUP(N421, Lookups!$B$6:$C$12, 2, FALSE)</f>
        <v>Monday</v>
      </c>
      <c r="P421" s="2">
        <v>0.6875</v>
      </c>
      <c r="Q421">
        <v>-1</v>
      </c>
      <c r="R421" t="s">
        <v>54</v>
      </c>
      <c r="S421" t="s">
        <v>45</v>
      </c>
      <c r="T421" t="s">
        <v>45</v>
      </c>
      <c r="U421">
        <v>6</v>
      </c>
      <c r="V421" t="str">
        <f>VLOOKUP(U421, Lookups!$B$51:$C$57, 2, FALSE)</f>
        <v>Unclassified</v>
      </c>
      <c r="W421">
        <v>0</v>
      </c>
      <c r="X421" t="s">
        <v>362</v>
      </c>
      <c r="Y421">
        <v>6</v>
      </c>
      <c r="Z421" t="str">
        <f>VLOOKUP(Y421, Lookups!$B$14:$C$21, 2, FALSE)</f>
        <v>Single carriageway</v>
      </c>
      <c r="AA421">
        <v>30</v>
      </c>
      <c r="AB421">
        <v>-1</v>
      </c>
      <c r="AC421">
        <v>0</v>
      </c>
      <c r="AD421">
        <v>-1</v>
      </c>
      <c r="AE421">
        <v>0</v>
      </c>
      <c r="AF421">
        <v>-1</v>
      </c>
      <c r="AG421">
        <v>-1</v>
      </c>
      <c r="AH421">
        <v>-1</v>
      </c>
      <c r="AI421">
        <v>0</v>
      </c>
      <c r="AJ421">
        <v>1</v>
      </c>
      <c r="AK421" t="str">
        <f>VLOOKUP(AJ421, Lookups!$B$23:$C$28, 2, FALSE)</f>
        <v>Daylight</v>
      </c>
      <c r="AL421">
        <v>1</v>
      </c>
      <c r="AM421" t="str">
        <f>VLOOKUP(AL421, Lookups!$B$30:$C$39, 2, FALSE)</f>
        <v>Fine / Clear</v>
      </c>
      <c r="AN421">
        <v>1</v>
      </c>
      <c r="AO421" t="str">
        <f>VLOOKUP(AN421, Lookups!$B$41:$C$49, 2, FALSE)</f>
        <v>Dry</v>
      </c>
      <c r="AP421">
        <v>-1</v>
      </c>
      <c r="AQ421">
        <v>-1</v>
      </c>
      <c r="AR421">
        <v>0</v>
      </c>
      <c r="AS421">
        <v>1</v>
      </c>
      <c r="AT421">
        <v>3</v>
      </c>
      <c r="AU421">
        <v>2</v>
      </c>
      <c r="AV421" t="s">
        <v>261</v>
      </c>
      <c r="AW421">
        <v>3</v>
      </c>
      <c r="AX421">
        <v>1</v>
      </c>
      <c r="AY421">
        <v>0</v>
      </c>
      <c r="AZ421">
        <v>1</v>
      </c>
    </row>
    <row r="422" spans="1:52" x14ac:dyDescent="0.35">
      <c r="A422">
        <v>2025221640769</v>
      </c>
      <c r="B422">
        <v>2025</v>
      </c>
      <c r="C422">
        <v>221640769</v>
      </c>
      <c r="D422">
        <v>378380</v>
      </c>
      <c r="E422">
        <v>250177</v>
      </c>
      <c r="F422">
        <v>-2.3173900000000001</v>
      </c>
      <c r="G422">
        <v>52.149450000000002</v>
      </c>
      <c r="H422">
        <v>22</v>
      </c>
      <c r="I422">
        <v>3</v>
      </c>
      <c r="J422" t="str">
        <f>VLOOKUP(I422, Lookups!$B$1:$C$4, 2, FALSE)</f>
        <v>Slight</v>
      </c>
      <c r="K422">
        <v>2</v>
      </c>
      <c r="L422">
        <v>1</v>
      </c>
      <c r="M422" s="1">
        <v>45912</v>
      </c>
      <c r="N422">
        <v>6</v>
      </c>
      <c r="O422" t="str">
        <f>VLOOKUP(N422, Lookups!$B$6:$C$12, 2, FALSE)</f>
        <v>Friday</v>
      </c>
      <c r="P422" s="2">
        <v>0.4826388888888889</v>
      </c>
      <c r="Q422">
        <v>-1</v>
      </c>
      <c r="R422" t="s">
        <v>49</v>
      </c>
      <c r="S422" t="s">
        <v>45</v>
      </c>
      <c r="T422" t="s">
        <v>45</v>
      </c>
      <c r="U422">
        <v>6</v>
      </c>
      <c r="V422" t="str">
        <f>VLOOKUP(U422, Lookups!$B$51:$C$57, 2, FALSE)</f>
        <v>Unclassified</v>
      </c>
      <c r="W422">
        <v>0</v>
      </c>
      <c r="X422" t="s">
        <v>362</v>
      </c>
      <c r="Y422">
        <v>6</v>
      </c>
      <c r="Z422" t="str">
        <f>VLOOKUP(Y422, Lookups!$B$14:$C$21, 2, FALSE)</f>
        <v>Single carriageway</v>
      </c>
      <c r="AA422">
        <v>30</v>
      </c>
      <c r="AB422">
        <v>-1</v>
      </c>
      <c r="AC422">
        <v>0</v>
      </c>
      <c r="AD422">
        <v>-1</v>
      </c>
      <c r="AE422">
        <v>0</v>
      </c>
      <c r="AF422">
        <v>-1</v>
      </c>
      <c r="AG422">
        <v>-1</v>
      </c>
      <c r="AH422">
        <v>-1</v>
      </c>
      <c r="AI422">
        <v>0</v>
      </c>
      <c r="AJ422">
        <v>1</v>
      </c>
      <c r="AK422" t="str">
        <f>VLOOKUP(AJ422, Lookups!$B$23:$C$28, 2, FALSE)</f>
        <v>Daylight</v>
      </c>
      <c r="AL422">
        <v>1</v>
      </c>
      <c r="AM422" t="str">
        <f>VLOOKUP(AL422, Lookups!$B$30:$C$39, 2, FALSE)</f>
        <v>Fine / Clear</v>
      </c>
      <c r="AN422">
        <v>1</v>
      </c>
      <c r="AO422" t="str">
        <f>VLOOKUP(AN422, Lookups!$B$41:$C$49, 2, FALSE)</f>
        <v>Dry</v>
      </c>
      <c r="AP422">
        <v>-1</v>
      </c>
      <c r="AQ422">
        <v>-1</v>
      </c>
      <c r="AR422">
        <v>0</v>
      </c>
      <c r="AS422">
        <v>2</v>
      </c>
      <c r="AT422">
        <v>3</v>
      </c>
      <c r="AU422">
        <v>2</v>
      </c>
      <c r="AV422" t="s">
        <v>262</v>
      </c>
      <c r="AW422">
        <v>3</v>
      </c>
      <c r="AX422">
        <v>1</v>
      </c>
      <c r="AY422">
        <v>0</v>
      </c>
      <c r="AZ422">
        <v>1</v>
      </c>
    </row>
    <row r="423" spans="1:52" x14ac:dyDescent="0.35">
      <c r="A423">
        <v>2025221672607</v>
      </c>
      <c r="B423">
        <v>2025</v>
      </c>
      <c r="C423">
        <v>221672607</v>
      </c>
      <c r="D423">
        <v>403999</v>
      </c>
      <c r="E423">
        <v>268543</v>
      </c>
      <c r="F423">
        <v>-1.94276</v>
      </c>
      <c r="G423">
        <v>52.314979999999998</v>
      </c>
      <c r="H423">
        <v>22</v>
      </c>
      <c r="I423">
        <v>3</v>
      </c>
      <c r="J423" t="str">
        <f>VLOOKUP(I423, Lookups!$B$1:$C$4, 2, FALSE)</f>
        <v>Slight</v>
      </c>
      <c r="K423">
        <v>1</v>
      </c>
      <c r="L423">
        <v>1</v>
      </c>
      <c r="M423" s="1">
        <v>45982</v>
      </c>
      <c r="N423">
        <v>6</v>
      </c>
      <c r="O423" t="str">
        <f>VLOOKUP(N423, Lookups!$B$6:$C$12, 2, FALSE)</f>
        <v>Friday</v>
      </c>
      <c r="P423" s="2">
        <v>0.37152777777777779</v>
      </c>
      <c r="Q423">
        <v>-1</v>
      </c>
      <c r="R423" t="s">
        <v>69</v>
      </c>
      <c r="S423" t="s">
        <v>45</v>
      </c>
      <c r="T423" t="s">
        <v>45</v>
      </c>
      <c r="U423">
        <v>4</v>
      </c>
      <c r="V423" t="str">
        <f>VLOOKUP(U423, Lookups!$B$51:$C$57, 2, FALSE)</f>
        <v>B</v>
      </c>
      <c r="W423">
        <v>4184</v>
      </c>
      <c r="X423" t="str">
        <f t="shared" ref="X423:X425" si="56">V423&amp;W423</f>
        <v>B4184</v>
      </c>
      <c r="Y423">
        <v>6</v>
      </c>
      <c r="Z423" t="str">
        <f>VLOOKUP(Y423, Lookups!$B$14:$C$21, 2, FALSE)</f>
        <v>Single carriageway</v>
      </c>
      <c r="AA423">
        <v>30</v>
      </c>
      <c r="AB423">
        <v>-1</v>
      </c>
      <c r="AC423">
        <v>0</v>
      </c>
      <c r="AD423">
        <v>-1</v>
      </c>
      <c r="AE423">
        <v>6</v>
      </c>
      <c r="AF423">
        <v>0</v>
      </c>
      <c r="AG423">
        <v>-1</v>
      </c>
      <c r="AH423">
        <v>-1</v>
      </c>
      <c r="AI423">
        <v>0</v>
      </c>
      <c r="AJ423">
        <v>1</v>
      </c>
      <c r="AK423" t="str">
        <f>VLOOKUP(AJ423, Lookups!$B$23:$C$28, 2, FALSE)</f>
        <v>Daylight</v>
      </c>
      <c r="AL423">
        <v>1</v>
      </c>
      <c r="AM423" t="str">
        <f>VLOOKUP(AL423, Lookups!$B$30:$C$39, 2, FALSE)</f>
        <v>Fine / Clear</v>
      </c>
      <c r="AN423">
        <v>2</v>
      </c>
      <c r="AO423" t="str">
        <f>VLOOKUP(AN423, Lookups!$B$41:$C$49, 2, FALSE)</f>
        <v>Wet / damp</v>
      </c>
      <c r="AP423">
        <v>-1</v>
      </c>
      <c r="AQ423">
        <v>-1</v>
      </c>
      <c r="AR423">
        <v>0</v>
      </c>
      <c r="AS423">
        <v>1</v>
      </c>
      <c r="AT423">
        <v>3</v>
      </c>
      <c r="AU423">
        <v>2</v>
      </c>
      <c r="AV423" t="s">
        <v>244</v>
      </c>
      <c r="AW423">
        <v>3</v>
      </c>
      <c r="AX423">
        <v>1</v>
      </c>
      <c r="AY423">
        <v>0</v>
      </c>
      <c r="AZ423">
        <v>1</v>
      </c>
    </row>
    <row r="424" spans="1:52" x14ac:dyDescent="0.35">
      <c r="A424">
        <v>2025221539542</v>
      </c>
      <c r="B424">
        <v>2025</v>
      </c>
      <c r="C424">
        <v>221539542</v>
      </c>
      <c r="D424">
        <v>389036</v>
      </c>
      <c r="E424">
        <v>261543</v>
      </c>
      <c r="F424">
        <v>-2.1620300000000001</v>
      </c>
      <c r="G424">
        <v>52.251950000000001</v>
      </c>
      <c r="H424">
        <v>22</v>
      </c>
      <c r="I424">
        <v>3</v>
      </c>
      <c r="J424" t="str">
        <f>VLOOKUP(I424, Lookups!$B$1:$C$4, 2, FALSE)</f>
        <v>Slight</v>
      </c>
      <c r="K424">
        <v>2</v>
      </c>
      <c r="L424">
        <v>2</v>
      </c>
      <c r="M424" s="1">
        <v>45665</v>
      </c>
      <c r="N424">
        <v>4</v>
      </c>
      <c r="O424" t="str">
        <f>VLOOKUP(N424, Lookups!$B$6:$C$12, 2, FALSE)</f>
        <v>Wednesday</v>
      </c>
      <c r="P424" s="2">
        <v>0.33680555555555558</v>
      </c>
      <c r="Q424">
        <v>-1</v>
      </c>
      <c r="R424" t="s">
        <v>54</v>
      </c>
      <c r="S424" t="s">
        <v>45</v>
      </c>
      <c r="T424" t="s">
        <v>45</v>
      </c>
      <c r="U424">
        <v>3</v>
      </c>
      <c r="V424" t="str">
        <f>VLOOKUP(U424, Lookups!$B$51:$C$57, 2, FALSE)</f>
        <v>A</v>
      </c>
      <c r="W424">
        <v>38</v>
      </c>
      <c r="X424" t="str">
        <f t="shared" si="56"/>
        <v>A38</v>
      </c>
      <c r="Y424">
        <v>1</v>
      </c>
      <c r="Z424" t="str">
        <f>VLOOKUP(Y424, Lookups!$B$14:$C$21, 2, FALSE)</f>
        <v>Roundabout</v>
      </c>
      <c r="AA424">
        <v>30</v>
      </c>
      <c r="AB424">
        <v>-1</v>
      </c>
      <c r="AC424">
        <v>-1</v>
      </c>
      <c r="AD424">
        <v>4</v>
      </c>
      <c r="AE424">
        <v>6</v>
      </c>
      <c r="AF424">
        <v>0</v>
      </c>
      <c r="AG424">
        <v>-1</v>
      </c>
      <c r="AH424">
        <v>-1</v>
      </c>
      <c r="AI424">
        <v>0</v>
      </c>
      <c r="AJ424">
        <v>1</v>
      </c>
      <c r="AK424" t="str">
        <f>VLOOKUP(AJ424, Lookups!$B$23:$C$28, 2, FALSE)</f>
        <v>Daylight</v>
      </c>
      <c r="AL424">
        <v>1</v>
      </c>
      <c r="AM424" t="str">
        <f>VLOOKUP(AL424, Lookups!$B$30:$C$39, 2, FALSE)</f>
        <v>Fine / Clear</v>
      </c>
      <c r="AN424">
        <v>4</v>
      </c>
      <c r="AO424" t="str">
        <f>VLOOKUP(AN424, Lookups!$B$41:$C$49, 2, FALSE)</f>
        <v>Frost or ice</v>
      </c>
      <c r="AP424">
        <v>-1</v>
      </c>
      <c r="AQ424">
        <v>-1</v>
      </c>
      <c r="AR424">
        <v>0</v>
      </c>
      <c r="AS424">
        <v>1</v>
      </c>
      <c r="AT424">
        <v>3</v>
      </c>
      <c r="AU424">
        <v>2</v>
      </c>
      <c r="AV424" t="s">
        <v>263</v>
      </c>
      <c r="AW424">
        <v>3</v>
      </c>
      <c r="AX424">
        <v>1</v>
      </c>
      <c r="AY424">
        <v>0</v>
      </c>
      <c r="AZ424">
        <v>1</v>
      </c>
    </row>
    <row r="425" spans="1:52" x14ac:dyDescent="0.35">
      <c r="A425">
        <v>2025221621497</v>
      </c>
      <c r="B425">
        <v>2025</v>
      </c>
      <c r="C425">
        <v>221621497</v>
      </c>
      <c r="D425">
        <v>388751</v>
      </c>
      <c r="E425">
        <v>261119</v>
      </c>
      <c r="F425">
        <v>-2.1661899999999998</v>
      </c>
      <c r="G425">
        <v>52.248130000000003</v>
      </c>
      <c r="H425">
        <v>22</v>
      </c>
      <c r="I425">
        <v>1</v>
      </c>
      <c r="J425" t="str">
        <f>VLOOKUP(I425, Lookups!$B$1:$C$4, 2, FALSE)</f>
        <v>Fatal</v>
      </c>
      <c r="K425">
        <v>2</v>
      </c>
      <c r="L425">
        <v>1</v>
      </c>
      <c r="M425" s="1">
        <v>45865</v>
      </c>
      <c r="N425">
        <v>1</v>
      </c>
      <c r="O425" t="str">
        <f>VLOOKUP(N425, Lookups!$B$6:$C$12, 2, FALSE)</f>
        <v>Sunday</v>
      </c>
      <c r="P425" s="2">
        <v>0.21180555555555555</v>
      </c>
      <c r="Q425">
        <v>-1</v>
      </c>
      <c r="R425" t="s">
        <v>54</v>
      </c>
      <c r="S425" t="s">
        <v>45</v>
      </c>
      <c r="T425" t="s">
        <v>45</v>
      </c>
      <c r="U425">
        <v>3</v>
      </c>
      <c r="V425" t="str">
        <f>VLOOKUP(U425, Lookups!$B$51:$C$57, 2, FALSE)</f>
        <v>A</v>
      </c>
      <c r="W425">
        <v>38</v>
      </c>
      <c r="X425" t="str">
        <f t="shared" si="56"/>
        <v>A38</v>
      </c>
      <c r="Y425">
        <v>6</v>
      </c>
      <c r="Z425" t="str">
        <f>VLOOKUP(Y425, Lookups!$B$14:$C$21, 2, FALSE)</f>
        <v>Single carriageway</v>
      </c>
      <c r="AA425">
        <v>40</v>
      </c>
      <c r="AB425">
        <v>-1</v>
      </c>
      <c r="AC425">
        <v>0</v>
      </c>
      <c r="AD425">
        <v>-1</v>
      </c>
      <c r="AE425">
        <v>6</v>
      </c>
      <c r="AF425">
        <v>0</v>
      </c>
      <c r="AG425">
        <v>-1</v>
      </c>
      <c r="AH425">
        <v>-1</v>
      </c>
      <c r="AI425">
        <v>0</v>
      </c>
      <c r="AJ425">
        <v>1</v>
      </c>
      <c r="AK425" t="str">
        <f>VLOOKUP(AJ425, Lookups!$B$23:$C$28, 2, FALSE)</f>
        <v>Daylight</v>
      </c>
      <c r="AL425">
        <v>1</v>
      </c>
      <c r="AM425" t="str">
        <f>VLOOKUP(AL425, Lookups!$B$30:$C$39, 2, FALSE)</f>
        <v>Fine / Clear</v>
      </c>
      <c r="AN425">
        <v>1</v>
      </c>
      <c r="AO425" t="str">
        <f>VLOOKUP(AN425, Lookups!$B$41:$C$49, 2, FALSE)</f>
        <v>Dry</v>
      </c>
      <c r="AP425">
        <v>-1</v>
      </c>
      <c r="AQ425">
        <v>-1</v>
      </c>
      <c r="AR425">
        <v>0</v>
      </c>
      <c r="AS425">
        <v>2</v>
      </c>
      <c r="AT425">
        <v>1</v>
      </c>
      <c r="AU425">
        <v>2</v>
      </c>
      <c r="AV425" t="s">
        <v>264</v>
      </c>
      <c r="AW425">
        <v>1</v>
      </c>
      <c r="AX425">
        <v>1</v>
      </c>
      <c r="AY425">
        <v>0</v>
      </c>
      <c r="AZ425">
        <v>0</v>
      </c>
    </row>
    <row r="426" spans="1:52" x14ac:dyDescent="0.35">
      <c r="A426">
        <v>2025221685043</v>
      </c>
      <c r="B426">
        <v>2025</v>
      </c>
      <c r="C426">
        <v>221685043</v>
      </c>
      <c r="D426">
        <v>384311</v>
      </c>
      <c r="E426">
        <v>276269</v>
      </c>
      <c r="F426">
        <v>-2.2319300000000002</v>
      </c>
      <c r="G426">
        <v>52.384219999999999</v>
      </c>
      <c r="H426">
        <v>22</v>
      </c>
      <c r="I426">
        <v>2</v>
      </c>
      <c r="J426" t="str">
        <f>VLOOKUP(I426, Lookups!$B$1:$C$4, 2, FALSE)</f>
        <v>Serious</v>
      </c>
      <c r="K426">
        <v>1</v>
      </c>
      <c r="L426">
        <v>1</v>
      </c>
      <c r="M426" s="1">
        <v>46009</v>
      </c>
      <c r="N426">
        <v>5</v>
      </c>
      <c r="O426" t="str">
        <f>VLOOKUP(N426, Lookups!$B$6:$C$12, 2, FALSE)</f>
        <v>Thursday</v>
      </c>
      <c r="P426" s="2">
        <v>0.72916666666666663</v>
      </c>
      <c r="Q426">
        <v>-1</v>
      </c>
      <c r="R426" t="s">
        <v>44</v>
      </c>
      <c r="S426" t="s">
        <v>45</v>
      </c>
      <c r="T426" t="s">
        <v>45</v>
      </c>
      <c r="U426">
        <v>6</v>
      </c>
      <c r="V426" t="str">
        <f>VLOOKUP(U426, Lookups!$B$51:$C$57, 2, FALSE)</f>
        <v>Unclassified</v>
      </c>
      <c r="W426">
        <v>0</v>
      </c>
      <c r="X426" t="s">
        <v>362</v>
      </c>
      <c r="Y426">
        <v>6</v>
      </c>
      <c r="Z426" t="str">
        <f>VLOOKUP(Y426, Lookups!$B$14:$C$21, 2, FALSE)</f>
        <v>Single carriageway</v>
      </c>
      <c r="AA426">
        <v>30</v>
      </c>
      <c r="AB426">
        <v>-1</v>
      </c>
      <c r="AC426">
        <v>13</v>
      </c>
      <c r="AD426">
        <v>4</v>
      </c>
      <c r="AE426">
        <v>6</v>
      </c>
      <c r="AF426">
        <v>0</v>
      </c>
      <c r="AG426">
        <v>-1</v>
      </c>
      <c r="AH426">
        <v>-1</v>
      </c>
      <c r="AI426">
        <v>0</v>
      </c>
      <c r="AJ426">
        <v>4</v>
      </c>
      <c r="AK426" t="str">
        <f>VLOOKUP(AJ426, Lookups!$B$23:$C$28, 2, FALSE)</f>
        <v>Darkness (Lit)</v>
      </c>
      <c r="AL426">
        <v>2</v>
      </c>
      <c r="AM426" t="str">
        <f>VLOOKUP(AL426, Lookups!$B$30:$C$39, 2, FALSE)</f>
        <v>Rain</v>
      </c>
      <c r="AN426">
        <v>2</v>
      </c>
      <c r="AO426" t="str">
        <f>VLOOKUP(AN426, Lookups!$B$41:$C$49, 2, FALSE)</f>
        <v>Wet / damp</v>
      </c>
      <c r="AP426">
        <v>-1</v>
      </c>
      <c r="AQ426">
        <v>-1</v>
      </c>
      <c r="AR426">
        <v>0</v>
      </c>
      <c r="AS426">
        <v>1</v>
      </c>
      <c r="AT426">
        <v>3</v>
      </c>
      <c r="AU426">
        <v>2</v>
      </c>
      <c r="AV426" t="s">
        <v>213</v>
      </c>
      <c r="AW426">
        <v>7</v>
      </c>
      <c r="AX426">
        <v>1</v>
      </c>
      <c r="AY426">
        <v>1</v>
      </c>
      <c r="AZ426">
        <v>0</v>
      </c>
    </row>
    <row r="427" spans="1:52" x14ac:dyDescent="0.35">
      <c r="A427">
        <v>2025221553286</v>
      </c>
      <c r="B427">
        <v>2025</v>
      </c>
      <c r="C427">
        <v>221553286</v>
      </c>
      <c r="D427">
        <v>377704</v>
      </c>
      <c r="E427">
        <v>245975</v>
      </c>
      <c r="F427">
        <v>-2.3269899999999999</v>
      </c>
      <c r="G427">
        <v>52.111649999999997</v>
      </c>
      <c r="H427">
        <v>22</v>
      </c>
      <c r="I427">
        <v>2</v>
      </c>
      <c r="J427" t="str">
        <f>VLOOKUP(I427, Lookups!$B$1:$C$4, 2, FALSE)</f>
        <v>Serious</v>
      </c>
      <c r="K427">
        <v>1</v>
      </c>
      <c r="L427">
        <v>1</v>
      </c>
      <c r="M427" s="1">
        <v>45694</v>
      </c>
      <c r="N427">
        <v>5</v>
      </c>
      <c r="O427" t="str">
        <f>VLOOKUP(N427, Lookups!$B$6:$C$12, 2, FALSE)</f>
        <v>Thursday</v>
      </c>
      <c r="P427" s="2">
        <v>0.79652777777777772</v>
      </c>
      <c r="Q427">
        <v>-1</v>
      </c>
      <c r="R427" t="s">
        <v>49</v>
      </c>
      <c r="S427" t="s">
        <v>45</v>
      </c>
      <c r="T427" t="s">
        <v>45</v>
      </c>
      <c r="U427">
        <v>6</v>
      </c>
      <c r="V427" t="str">
        <f>VLOOKUP(U427, Lookups!$B$51:$C$57, 2, FALSE)</f>
        <v>Unclassified</v>
      </c>
      <c r="W427">
        <v>0</v>
      </c>
      <c r="X427" t="s">
        <v>362</v>
      </c>
      <c r="Y427">
        <v>6</v>
      </c>
      <c r="Z427" t="str">
        <f>VLOOKUP(Y427, Lookups!$B$14:$C$21, 2, FALSE)</f>
        <v>Single carriageway</v>
      </c>
      <c r="AA427">
        <v>30</v>
      </c>
      <c r="AB427">
        <v>-1</v>
      </c>
      <c r="AC427">
        <v>16</v>
      </c>
      <c r="AD427">
        <v>2</v>
      </c>
      <c r="AE427">
        <v>4</v>
      </c>
      <c r="AF427">
        <v>4211</v>
      </c>
      <c r="AG427">
        <v>-1</v>
      </c>
      <c r="AH427">
        <v>-1</v>
      </c>
      <c r="AI427">
        <v>15</v>
      </c>
      <c r="AJ427">
        <v>1</v>
      </c>
      <c r="AK427" t="str">
        <f>VLOOKUP(AJ427, Lookups!$B$23:$C$28, 2, FALSE)</f>
        <v>Daylight</v>
      </c>
      <c r="AL427">
        <v>1</v>
      </c>
      <c r="AM427" t="str">
        <f>VLOOKUP(AL427, Lookups!$B$30:$C$39, 2, FALSE)</f>
        <v>Fine / Clear</v>
      </c>
      <c r="AN427">
        <v>1</v>
      </c>
      <c r="AO427" t="str">
        <f>VLOOKUP(AN427, Lookups!$B$41:$C$49, 2, FALSE)</f>
        <v>Dry</v>
      </c>
      <c r="AP427">
        <v>-1</v>
      </c>
      <c r="AQ427">
        <v>-1</v>
      </c>
      <c r="AR427">
        <v>0</v>
      </c>
      <c r="AS427">
        <v>1</v>
      </c>
      <c r="AT427">
        <v>1</v>
      </c>
      <c r="AU427">
        <v>2</v>
      </c>
      <c r="AV427" t="s">
        <v>102</v>
      </c>
      <c r="AW427">
        <v>6</v>
      </c>
      <c r="AX427">
        <v>1</v>
      </c>
      <c r="AY427">
        <v>1</v>
      </c>
      <c r="AZ427">
        <v>0</v>
      </c>
    </row>
    <row r="428" spans="1:52" x14ac:dyDescent="0.35">
      <c r="A428">
        <v>2025221640571</v>
      </c>
      <c r="B428">
        <v>2025</v>
      </c>
      <c r="C428">
        <v>221640571</v>
      </c>
      <c r="D428">
        <v>406682</v>
      </c>
      <c r="E428">
        <v>266892</v>
      </c>
      <c r="F428">
        <v>-1.90343</v>
      </c>
      <c r="G428">
        <v>52.300109999999997</v>
      </c>
      <c r="H428">
        <v>22</v>
      </c>
      <c r="I428">
        <v>3</v>
      </c>
      <c r="J428" t="str">
        <f>VLOOKUP(I428, Lookups!$B$1:$C$4, 2, FALSE)</f>
        <v>Slight</v>
      </c>
      <c r="K428">
        <v>2</v>
      </c>
      <c r="L428">
        <v>2</v>
      </c>
      <c r="M428" s="1">
        <v>45911</v>
      </c>
      <c r="N428">
        <v>5</v>
      </c>
      <c r="O428" t="str">
        <f>VLOOKUP(N428, Lookups!$B$6:$C$12, 2, FALSE)</f>
        <v>Thursday</v>
      </c>
      <c r="P428" s="2">
        <v>0.78541666666666665</v>
      </c>
      <c r="Q428">
        <v>-1</v>
      </c>
      <c r="R428" t="s">
        <v>69</v>
      </c>
      <c r="S428" t="s">
        <v>45</v>
      </c>
      <c r="T428" t="s">
        <v>45</v>
      </c>
      <c r="U428">
        <v>4</v>
      </c>
      <c r="V428" t="str">
        <f>VLOOKUP(U428, Lookups!$B$51:$C$57, 2, FALSE)</f>
        <v>B</v>
      </c>
      <c r="W428">
        <v>4497</v>
      </c>
      <c r="X428" t="str">
        <f t="shared" ref="X428:X431" si="57">V428&amp;W428</f>
        <v>B4497</v>
      </c>
      <c r="Y428">
        <v>6</v>
      </c>
      <c r="Z428" t="str">
        <f>VLOOKUP(Y428, Lookups!$B$14:$C$21, 2, FALSE)</f>
        <v>Single carriageway</v>
      </c>
      <c r="AA428">
        <v>40</v>
      </c>
      <c r="AB428">
        <v>-1</v>
      </c>
      <c r="AC428">
        <v>-1</v>
      </c>
      <c r="AD428">
        <v>4</v>
      </c>
      <c r="AE428">
        <v>3</v>
      </c>
      <c r="AF428">
        <v>4189</v>
      </c>
      <c r="AG428">
        <v>-1</v>
      </c>
      <c r="AH428">
        <v>-1</v>
      </c>
      <c r="AI428">
        <v>0</v>
      </c>
      <c r="AJ428">
        <v>1</v>
      </c>
      <c r="AK428" t="str">
        <f>VLOOKUP(AJ428, Lookups!$B$23:$C$28, 2, FALSE)</f>
        <v>Daylight</v>
      </c>
      <c r="AL428">
        <v>1</v>
      </c>
      <c r="AM428" t="str">
        <f>VLOOKUP(AL428, Lookups!$B$30:$C$39, 2, FALSE)</f>
        <v>Fine / Clear</v>
      </c>
      <c r="AN428">
        <v>1</v>
      </c>
      <c r="AO428" t="str">
        <f>VLOOKUP(AN428, Lookups!$B$41:$C$49, 2, FALSE)</f>
        <v>Dry</v>
      </c>
      <c r="AP428">
        <v>-1</v>
      </c>
      <c r="AQ428">
        <v>-1</v>
      </c>
      <c r="AR428">
        <v>0</v>
      </c>
      <c r="AS428">
        <v>1</v>
      </c>
      <c r="AT428">
        <v>1</v>
      </c>
      <c r="AU428">
        <v>2</v>
      </c>
      <c r="AV428" t="s">
        <v>265</v>
      </c>
      <c r="AW428">
        <v>3</v>
      </c>
      <c r="AX428">
        <v>1</v>
      </c>
      <c r="AY428">
        <v>0</v>
      </c>
      <c r="AZ428">
        <v>1</v>
      </c>
    </row>
    <row r="429" spans="1:52" x14ac:dyDescent="0.35">
      <c r="A429">
        <v>2025221642833</v>
      </c>
      <c r="B429">
        <v>2025</v>
      </c>
      <c r="C429">
        <v>221642833</v>
      </c>
      <c r="D429">
        <v>397009</v>
      </c>
      <c r="E429">
        <v>275620</v>
      </c>
      <c r="F429">
        <v>-2.0453600000000001</v>
      </c>
      <c r="G429">
        <v>52.378610000000002</v>
      </c>
      <c r="H429">
        <v>22</v>
      </c>
      <c r="I429">
        <v>3</v>
      </c>
      <c r="J429" t="str">
        <f>VLOOKUP(I429, Lookups!$B$1:$C$4, 2, FALSE)</f>
        <v>Slight</v>
      </c>
      <c r="K429">
        <v>2</v>
      </c>
      <c r="L429">
        <v>1</v>
      </c>
      <c r="M429" s="1">
        <v>45915</v>
      </c>
      <c r="N429">
        <v>2</v>
      </c>
      <c r="O429" t="str">
        <f>VLOOKUP(N429, Lookups!$B$6:$C$12, 2, FALSE)</f>
        <v>Monday</v>
      </c>
      <c r="P429" s="2">
        <v>0.50555555555555554</v>
      </c>
      <c r="Q429">
        <v>-1</v>
      </c>
      <c r="R429" t="s">
        <v>47</v>
      </c>
      <c r="S429" t="s">
        <v>45</v>
      </c>
      <c r="T429" t="s">
        <v>45</v>
      </c>
      <c r="U429">
        <v>3</v>
      </c>
      <c r="V429" t="str">
        <f>VLOOKUP(U429, Lookups!$B$51:$C$57, 2, FALSE)</f>
        <v>A</v>
      </c>
      <c r="W429">
        <v>38</v>
      </c>
      <c r="X429" t="str">
        <f t="shared" si="57"/>
        <v>A38</v>
      </c>
      <c r="Y429">
        <v>1</v>
      </c>
      <c r="Z429" t="str">
        <f>VLOOKUP(Y429, Lookups!$B$14:$C$21, 2, FALSE)</f>
        <v>Roundabout</v>
      </c>
      <c r="AA429">
        <v>30</v>
      </c>
      <c r="AB429">
        <v>-1</v>
      </c>
      <c r="AC429">
        <v>-1</v>
      </c>
      <c r="AD429">
        <v>2</v>
      </c>
      <c r="AE429">
        <v>3</v>
      </c>
      <c r="AF429">
        <v>38</v>
      </c>
      <c r="AG429">
        <v>-1</v>
      </c>
      <c r="AH429">
        <v>-1</v>
      </c>
      <c r="AI429">
        <v>0</v>
      </c>
      <c r="AJ429">
        <v>1</v>
      </c>
      <c r="AK429" t="str">
        <f>VLOOKUP(AJ429, Lookups!$B$23:$C$28, 2, FALSE)</f>
        <v>Daylight</v>
      </c>
      <c r="AL429">
        <v>1</v>
      </c>
      <c r="AM429" t="str">
        <f>VLOOKUP(AL429, Lookups!$B$30:$C$39, 2, FALSE)</f>
        <v>Fine / Clear</v>
      </c>
      <c r="AN429">
        <v>1</v>
      </c>
      <c r="AO429" t="str">
        <f>VLOOKUP(AN429, Lookups!$B$41:$C$49, 2, FALSE)</f>
        <v>Dry</v>
      </c>
      <c r="AP429">
        <v>-1</v>
      </c>
      <c r="AQ429">
        <v>-1</v>
      </c>
      <c r="AR429">
        <v>0</v>
      </c>
      <c r="AS429">
        <v>2</v>
      </c>
      <c r="AT429">
        <v>1</v>
      </c>
      <c r="AU429">
        <v>2</v>
      </c>
      <c r="AV429" t="s">
        <v>259</v>
      </c>
      <c r="AW429">
        <v>3</v>
      </c>
      <c r="AX429">
        <v>1</v>
      </c>
      <c r="AY429">
        <v>0</v>
      </c>
      <c r="AZ429">
        <v>1</v>
      </c>
    </row>
    <row r="430" spans="1:52" x14ac:dyDescent="0.35">
      <c r="A430">
        <v>2025221645952</v>
      </c>
      <c r="B430">
        <v>2025</v>
      </c>
      <c r="C430">
        <v>221645952</v>
      </c>
      <c r="D430">
        <v>387466</v>
      </c>
      <c r="E430">
        <v>252666</v>
      </c>
      <c r="F430">
        <v>-2.1846899999999998</v>
      </c>
      <c r="G430">
        <v>52.172110000000004</v>
      </c>
      <c r="H430">
        <v>22</v>
      </c>
      <c r="I430">
        <v>2</v>
      </c>
      <c r="J430" t="str">
        <f>VLOOKUP(I430, Lookups!$B$1:$C$4, 2, FALSE)</f>
        <v>Serious</v>
      </c>
      <c r="K430">
        <v>2</v>
      </c>
      <c r="L430">
        <v>2</v>
      </c>
      <c r="M430" s="1">
        <v>45922</v>
      </c>
      <c r="N430">
        <v>2</v>
      </c>
      <c r="O430" t="str">
        <f>VLOOKUP(N430, Lookups!$B$6:$C$12, 2, FALSE)</f>
        <v>Monday</v>
      </c>
      <c r="P430" s="2">
        <v>0.84027777777777779</v>
      </c>
      <c r="Q430">
        <v>-1</v>
      </c>
      <c r="R430" t="s">
        <v>54</v>
      </c>
      <c r="S430" t="s">
        <v>45</v>
      </c>
      <c r="T430" t="s">
        <v>45</v>
      </c>
      <c r="U430">
        <v>3</v>
      </c>
      <c r="V430" t="str">
        <f>VLOOKUP(U430, Lookups!$B$51:$C$57, 2, FALSE)</f>
        <v>A</v>
      </c>
      <c r="W430">
        <v>4440</v>
      </c>
      <c r="X430" t="str">
        <f t="shared" si="57"/>
        <v>A4440</v>
      </c>
      <c r="Y430">
        <v>1</v>
      </c>
      <c r="Z430" t="str">
        <f>VLOOKUP(Y430, Lookups!$B$14:$C$21, 2, FALSE)</f>
        <v>Roundabout</v>
      </c>
      <c r="AA430">
        <v>30</v>
      </c>
      <c r="AB430">
        <v>-1</v>
      </c>
      <c r="AC430">
        <v>-1</v>
      </c>
      <c r="AD430">
        <v>4</v>
      </c>
      <c r="AE430">
        <v>3</v>
      </c>
      <c r="AF430">
        <v>4440</v>
      </c>
      <c r="AG430">
        <v>-1</v>
      </c>
      <c r="AH430">
        <v>-1</v>
      </c>
      <c r="AI430">
        <v>0</v>
      </c>
      <c r="AJ430">
        <v>4</v>
      </c>
      <c r="AK430" t="str">
        <f>VLOOKUP(AJ430, Lookups!$B$23:$C$28, 2, FALSE)</f>
        <v>Darkness (Lit)</v>
      </c>
      <c r="AL430">
        <v>1</v>
      </c>
      <c r="AM430" t="str">
        <f>VLOOKUP(AL430, Lookups!$B$30:$C$39, 2, FALSE)</f>
        <v>Fine / Clear</v>
      </c>
      <c r="AN430">
        <v>1</v>
      </c>
      <c r="AO430" t="str">
        <f>VLOOKUP(AN430, Lookups!$B$41:$C$49, 2, FALSE)</f>
        <v>Dry</v>
      </c>
      <c r="AP430">
        <v>-1</v>
      </c>
      <c r="AQ430">
        <v>-1</v>
      </c>
      <c r="AR430">
        <v>0</v>
      </c>
      <c r="AS430">
        <v>2</v>
      </c>
      <c r="AT430">
        <v>3</v>
      </c>
      <c r="AU430">
        <v>2</v>
      </c>
      <c r="AV430" t="s">
        <v>132</v>
      </c>
      <c r="AW430">
        <v>5</v>
      </c>
      <c r="AX430">
        <v>1</v>
      </c>
      <c r="AY430">
        <v>1</v>
      </c>
      <c r="AZ430">
        <v>0</v>
      </c>
    </row>
    <row r="431" spans="1:52" x14ac:dyDescent="0.35">
      <c r="A431">
        <v>2025221648789</v>
      </c>
      <c r="B431">
        <v>2025</v>
      </c>
      <c r="C431">
        <v>221648789</v>
      </c>
      <c r="D431">
        <v>382319</v>
      </c>
      <c r="E431">
        <v>278599</v>
      </c>
      <c r="F431">
        <v>-2.26132</v>
      </c>
      <c r="G431">
        <v>52.405110000000001</v>
      </c>
      <c r="H431">
        <v>22</v>
      </c>
      <c r="I431">
        <v>3</v>
      </c>
      <c r="J431" t="str">
        <f>VLOOKUP(I431, Lookups!$B$1:$C$4, 2, FALSE)</f>
        <v>Slight</v>
      </c>
      <c r="K431">
        <v>2</v>
      </c>
      <c r="L431">
        <v>1</v>
      </c>
      <c r="M431" s="1">
        <v>45931</v>
      </c>
      <c r="N431">
        <v>4</v>
      </c>
      <c r="O431" t="str">
        <f>VLOOKUP(N431, Lookups!$B$6:$C$12, 2, FALSE)</f>
        <v>Wednesday</v>
      </c>
      <c r="P431" s="2">
        <v>0.30208333333333331</v>
      </c>
      <c r="Q431">
        <v>-1</v>
      </c>
      <c r="R431" t="s">
        <v>44</v>
      </c>
      <c r="S431" t="s">
        <v>45</v>
      </c>
      <c r="T431" t="s">
        <v>45</v>
      </c>
      <c r="U431">
        <v>4</v>
      </c>
      <c r="V431" t="str">
        <f>VLOOKUP(U431, Lookups!$B$51:$C$57, 2, FALSE)</f>
        <v>B</v>
      </c>
      <c r="W431">
        <v>4190</v>
      </c>
      <c r="X431" t="str">
        <f t="shared" si="57"/>
        <v>B4190</v>
      </c>
      <c r="Y431">
        <v>6</v>
      </c>
      <c r="Z431" t="str">
        <f>VLOOKUP(Y431, Lookups!$B$14:$C$21, 2, FALSE)</f>
        <v>Single carriageway</v>
      </c>
      <c r="AA431">
        <v>40</v>
      </c>
      <c r="AB431">
        <v>-1</v>
      </c>
      <c r="AC431">
        <v>0</v>
      </c>
      <c r="AD431">
        <v>-1</v>
      </c>
      <c r="AE431">
        <v>6</v>
      </c>
      <c r="AF431">
        <v>0</v>
      </c>
      <c r="AG431">
        <v>-1</v>
      </c>
      <c r="AH431">
        <v>-1</v>
      </c>
      <c r="AI431">
        <v>0</v>
      </c>
      <c r="AJ431">
        <v>1</v>
      </c>
      <c r="AK431" t="str">
        <f>VLOOKUP(AJ431, Lookups!$B$23:$C$28, 2, FALSE)</f>
        <v>Daylight</v>
      </c>
      <c r="AL431">
        <v>1</v>
      </c>
      <c r="AM431" t="str">
        <f>VLOOKUP(AL431, Lookups!$B$30:$C$39, 2, FALSE)</f>
        <v>Fine / Clear</v>
      </c>
      <c r="AN431">
        <v>1</v>
      </c>
      <c r="AO431" t="str">
        <f>VLOOKUP(AN431, Lookups!$B$41:$C$49, 2, FALSE)</f>
        <v>Dry</v>
      </c>
      <c r="AP431">
        <v>-1</v>
      </c>
      <c r="AQ431">
        <v>-1</v>
      </c>
      <c r="AR431">
        <v>0</v>
      </c>
      <c r="AS431">
        <v>2</v>
      </c>
      <c r="AT431">
        <v>1</v>
      </c>
      <c r="AU431">
        <v>2</v>
      </c>
      <c r="AV431" t="s">
        <v>175</v>
      </c>
      <c r="AW431">
        <v>3</v>
      </c>
      <c r="AX431">
        <v>1</v>
      </c>
      <c r="AY431">
        <v>0</v>
      </c>
      <c r="AZ431">
        <v>1</v>
      </c>
    </row>
    <row r="432" spans="1:52" x14ac:dyDescent="0.35">
      <c r="A432">
        <v>2025221561249</v>
      </c>
      <c r="B432">
        <v>2025</v>
      </c>
      <c r="C432">
        <v>221561249</v>
      </c>
      <c r="D432">
        <v>407598</v>
      </c>
      <c r="E432">
        <v>268841</v>
      </c>
      <c r="F432">
        <v>-1.8899600000000001</v>
      </c>
      <c r="G432">
        <v>52.317619999999998</v>
      </c>
      <c r="H432">
        <v>22</v>
      </c>
      <c r="I432">
        <v>3</v>
      </c>
      <c r="J432" t="str">
        <f>VLOOKUP(I432, Lookups!$B$1:$C$4, 2, FALSE)</f>
        <v>Slight</v>
      </c>
      <c r="K432">
        <v>2</v>
      </c>
      <c r="L432">
        <v>1</v>
      </c>
      <c r="M432" s="1">
        <v>45720</v>
      </c>
      <c r="N432">
        <v>3</v>
      </c>
      <c r="O432" t="str">
        <f>VLOOKUP(N432, Lookups!$B$6:$C$12, 2, FALSE)</f>
        <v>Tuesday</v>
      </c>
      <c r="P432" s="2">
        <v>0.58333333333333337</v>
      </c>
      <c r="Q432">
        <v>-1</v>
      </c>
      <c r="R432" t="s">
        <v>69</v>
      </c>
      <c r="S432" t="s">
        <v>45</v>
      </c>
      <c r="T432" t="s">
        <v>45</v>
      </c>
      <c r="U432">
        <v>6</v>
      </c>
      <c r="V432" t="str">
        <f>VLOOKUP(U432, Lookups!$B$51:$C$57, 2, FALSE)</f>
        <v>Unclassified</v>
      </c>
      <c r="W432">
        <v>0</v>
      </c>
      <c r="X432" t="s">
        <v>362</v>
      </c>
      <c r="Y432">
        <v>6</v>
      </c>
      <c r="Z432" t="str">
        <f>VLOOKUP(Y432, Lookups!$B$14:$C$21, 2, FALSE)</f>
        <v>Single carriageway</v>
      </c>
      <c r="AA432">
        <v>30</v>
      </c>
      <c r="AB432">
        <v>-1</v>
      </c>
      <c r="AC432">
        <v>13</v>
      </c>
      <c r="AD432">
        <v>4</v>
      </c>
      <c r="AE432">
        <v>6</v>
      </c>
      <c r="AF432">
        <v>0</v>
      </c>
      <c r="AG432">
        <v>-1</v>
      </c>
      <c r="AH432">
        <v>-1</v>
      </c>
      <c r="AI432">
        <v>14</v>
      </c>
      <c r="AJ432">
        <v>1</v>
      </c>
      <c r="AK432" t="str">
        <f>VLOOKUP(AJ432, Lookups!$B$23:$C$28, 2, FALSE)</f>
        <v>Daylight</v>
      </c>
      <c r="AL432">
        <v>1</v>
      </c>
      <c r="AM432" t="str">
        <f>VLOOKUP(AL432, Lookups!$B$30:$C$39, 2, FALSE)</f>
        <v>Fine / Clear</v>
      </c>
      <c r="AN432">
        <v>1</v>
      </c>
      <c r="AO432" t="str">
        <f>VLOOKUP(AN432, Lookups!$B$41:$C$49, 2, FALSE)</f>
        <v>Dry</v>
      </c>
      <c r="AP432">
        <v>-1</v>
      </c>
      <c r="AQ432">
        <v>-1</v>
      </c>
      <c r="AR432">
        <v>0</v>
      </c>
      <c r="AS432">
        <v>1</v>
      </c>
      <c r="AT432">
        <v>3</v>
      </c>
      <c r="AU432">
        <v>2</v>
      </c>
      <c r="AV432" t="s">
        <v>266</v>
      </c>
      <c r="AW432">
        <v>3</v>
      </c>
      <c r="AX432">
        <v>1</v>
      </c>
      <c r="AY432">
        <v>0</v>
      </c>
      <c r="AZ432">
        <v>1</v>
      </c>
    </row>
    <row r="433" spans="1:52" x14ac:dyDescent="0.35">
      <c r="A433">
        <v>2025221587264</v>
      </c>
      <c r="B433">
        <v>2025</v>
      </c>
      <c r="C433">
        <v>221587264</v>
      </c>
      <c r="D433">
        <v>398827</v>
      </c>
      <c r="E433">
        <v>280866</v>
      </c>
      <c r="F433">
        <v>-2.0186799999999998</v>
      </c>
      <c r="G433">
        <v>52.425780000000003</v>
      </c>
      <c r="H433">
        <v>22</v>
      </c>
      <c r="I433">
        <v>2</v>
      </c>
      <c r="J433" t="str">
        <f>VLOOKUP(I433, Lookups!$B$1:$C$4, 2, FALSE)</f>
        <v>Serious</v>
      </c>
      <c r="K433">
        <v>1</v>
      </c>
      <c r="L433">
        <v>1</v>
      </c>
      <c r="M433" s="1">
        <v>45784</v>
      </c>
      <c r="N433">
        <v>4</v>
      </c>
      <c r="O433" t="str">
        <f>VLOOKUP(N433, Lookups!$B$6:$C$12, 2, FALSE)</f>
        <v>Wednesday</v>
      </c>
      <c r="P433" s="2">
        <v>0.58611111111111114</v>
      </c>
      <c r="Q433">
        <v>-1</v>
      </c>
      <c r="R433" t="s">
        <v>47</v>
      </c>
      <c r="S433" t="s">
        <v>45</v>
      </c>
      <c r="T433" t="s">
        <v>45</v>
      </c>
      <c r="U433">
        <v>1</v>
      </c>
      <c r="V433" t="str">
        <f>VLOOKUP(U433, Lookups!$B$51:$C$57, 2, FALSE)</f>
        <v>M</v>
      </c>
      <c r="W433">
        <v>5</v>
      </c>
      <c r="X433" t="str">
        <f t="shared" ref="X433:X441" si="58">V433&amp;W433</f>
        <v>M5</v>
      </c>
      <c r="Y433">
        <v>3</v>
      </c>
      <c r="Z433" t="str">
        <f>VLOOKUP(Y433, Lookups!$B$14:$C$21, 2, FALSE)</f>
        <v>Dual carriageway</v>
      </c>
      <c r="AA433">
        <v>70</v>
      </c>
      <c r="AB433">
        <v>-1</v>
      </c>
      <c r="AC433">
        <v>0</v>
      </c>
      <c r="AD433">
        <v>-1</v>
      </c>
      <c r="AE433">
        <v>6</v>
      </c>
      <c r="AF433">
        <v>0</v>
      </c>
      <c r="AG433">
        <v>-1</v>
      </c>
      <c r="AH433">
        <v>-1</v>
      </c>
      <c r="AI433">
        <v>0</v>
      </c>
      <c r="AJ433">
        <v>1</v>
      </c>
      <c r="AK433" t="str">
        <f>VLOOKUP(AJ433, Lookups!$B$23:$C$28, 2, FALSE)</f>
        <v>Daylight</v>
      </c>
      <c r="AL433">
        <v>1</v>
      </c>
      <c r="AM433" t="str">
        <f>VLOOKUP(AL433, Lookups!$B$30:$C$39, 2, FALSE)</f>
        <v>Fine / Clear</v>
      </c>
      <c r="AN433">
        <v>1</v>
      </c>
      <c r="AO433" t="str">
        <f>VLOOKUP(AN433, Lookups!$B$41:$C$49, 2, FALSE)</f>
        <v>Dry</v>
      </c>
      <c r="AP433">
        <v>-1</v>
      </c>
      <c r="AQ433">
        <v>-1</v>
      </c>
      <c r="AR433">
        <v>0</v>
      </c>
      <c r="AS433">
        <v>2</v>
      </c>
      <c r="AT433">
        <v>1</v>
      </c>
      <c r="AU433">
        <v>1</v>
      </c>
      <c r="AV433" t="s">
        <v>149</v>
      </c>
      <c r="AW433">
        <v>7</v>
      </c>
      <c r="AX433">
        <v>1</v>
      </c>
      <c r="AY433">
        <v>1</v>
      </c>
      <c r="AZ433">
        <v>0</v>
      </c>
    </row>
    <row r="434" spans="1:52" x14ac:dyDescent="0.35">
      <c r="A434">
        <v>2025221681323</v>
      </c>
      <c r="B434">
        <v>2025</v>
      </c>
      <c r="C434">
        <v>221681323</v>
      </c>
      <c r="D434">
        <v>396180</v>
      </c>
      <c r="E434">
        <v>270908</v>
      </c>
      <c r="F434">
        <v>-2.05749</v>
      </c>
      <c r="G434">
        <v>52.336239999999997</v>
      </c>
      <c r="H434">
        <v>22</v>
      </c>
      <c r="I434">
        <v>3</v>
      </c>
      <c r="J434" t="str">
        <f>VLOOKUP(I434, Lookups!$B$1:$C$4, 2, FALSE)</f>
        <v>Slight</v>
      </c>
      <c r="K434">
        <v>2</v>
      </c>
      <c r="L434">
        <v>1</v>
      </c>
      <c r="M434" s="1">
        <v>45999</v>
      </c>
      <c r="N434">
        <v>2</v>
      </c>
      <c r="O434" t="str">
        <f>VLOOKUP(N434, Lookups!$B$6:$C$12, 2, FALSE)</f>
        <v>Monday</v>
      </c>
      <c r="P434" s="2">
        <v>0.67083333333333328</v>
      </c>
      <c r="Q434">
        <v>-1</v>
      </c>
      <c r="R434" t="s">
        <v>47</v>
      </c>
      <c r="S434" t="s">
        <v>45</v>
      </c>
      <c r="T434" t="s">
        <v>45</v>
      </c>
      <c r="U434">
        <v>3</v>
      </c>
      <c r="V434" t="str">
        <f>VLOOKUP(U434, Lookups!$B$51:$C$57, 2, FALSE)</f>
        <v>A</v>
      </c>
      <c r="W434">
        <v>448</v>
      </c>
      <c r="X434" t="str">
        <f t="shared" si="58"/>
        <v>A448</v>
      </c>
      <c r="Y434">
        <v>6</v>
      </c>
      <c r="Z434" t="str">
        <f>VLOOKUP(Y434, Lookups!$B$14:$C$21, 2, FALSE)</f>
        <v>Single carriageway</v>
      </c>
      <c r="AA434">
        <v>30</v>
      </c>
      <c r="AB434">
        <v>-1</v>
      </c>
      <c r="AC434">
        <v>13</v>
      </c>
      <c r="AD434">
        <v>4</v>
      </c>
      <c r="AE434">
        <v>6</v>
      </c>
      <c r="AF434">
        <v>0</v>
      </c>
      <c r="AG434">
        <v>-1</v>
      </c>
      <c r="AH434">
        <v>-1</v>
      </c>
      <c r="AI434">
        <v>0</v>
      </c>
      <c r="AJ434">
        <v>4</v>
      </c>
      <c r="AK434" t="str">
        <f>VLOOKUP(AJ434, Lookups!$B$23:$C$28, 2, FALSE)</f>
        <v>Darkness (Lit)</v>
      </c>
      <c r="AL434">
        <v>1</v>
      </c>
      <c r="AM434" t="str">
        <f>VLOOKUP(AL434, Lookups!$B$30:$C$39, 2, FALSE)</f>
        <v>Fine / Clear</v>
      </c>
      <c r="AN434">
        <v>1</v>
      </c>
      <c r="AO434" t="str">
        <f>VLOOKUP(AN434, Lookups!$B$41:$C$49, 2, FALSE)</f>
        <v>Dry</v>
      </c>
      <c r="AP434">
        <v>-1</v>
      </c>
      <c r="AQ434">
        <v>-1</v>
      </c>
      <c r="AR434">
        <v>0</v>
      </c>
      <c r="AS434">
        <v>1</v>
      </c>
      <c r="AT434">
        <v>1</v>
      </c>
      <c r="AU434">
        <v>2</v>
      </c>
      <c r="AV434" t="s">
        <v>51</v>
      </c>
      <c r="AW434">
        <v>3</v>
      </c>
      <c r="AX434">
        <v>1</v>
      </c>
      <c r="AY434">
        <v>0</v>
      </c>
      <c r="AZ434">
        <v>1</v>
      </c>
    </row>
    <row r="435" spans="1:52" x14ac:dyDescent="0.35">
      <c r="A435">
        <v>2025221557690</v>
      </c>
      <c r="B435">
        <v>2025</v>
      </c>
      <c r="C435">
        <v>221557690</v>
      </c>
      <c r="D435">
        <v>372061</v>
      </c>
      <c r="E435">
        <v>272274</v>
      </c>
      <c r="F435">
        <v>-2.4115700000000002</v>
      </c>
      <c r="G435">
        <v>52.347819999999999</v>
      </c>
      <c r="H435">
        <v>22</v>
      </c>
      <c r="I435">
        <v>3</v>
      </c>
      <c r="J435" t="str">
        <f>VLOOKUP(I435, Lookups!$B$1:$C$4, 2, FALSE)</f>
        <v>Slight</v>
      </c>
      <c r="K435">
        <v>1</v>
      </c>
      <c r="L435">
        <v>1</v>
      </c>
      <c r="M435" s="1">
        <v>45706</v>
      </c>
      <c r="N435">
        <v>3</v>
      </c>
      <c r="O435" t="str">
        <f>VLOOKUP(N435, Lookups!$B$6:$C$12, 2, FALSE)</f>
        <v>Tuesday</v>
      </c>
      <c r="P435" s="2">
        <v>0.2951388888888889</v>
      </c>
      <c r="Q435">
        <v>-1</v>
      </c>
      <c r="R435" t="s">
        <v>44</v>
      </c>
      <c r="S435" t="s">
        <v>45</v>
      </c>
      <c r="T435" t="s">
        <v>45</v>
      </c>
      <c r="U435">
        <v>3</v>
      </c>
      <c r="V435" t="str">
        <f>VLOOKUP(U435, Lookups!$B$51:$C$57, 2, FALSE)</f>
        <v>A</v>
      </c>
      <c r="W435">
        <v>456</v>
      </c>
      <c r="X435" t="str">
        <f t="shared" si="58"/>
        <v>A456</v>
      </c>
      <c r="Y435">
        <v>6</v>
      </c>
      <c r="Z435" t="str">
        <f>VLOOKUP(Y435, Lookups!$B$14:$C$21, 2, FALSE)</f>
        <v>Single carriageway</v>
      </c>
      <c r="AA435">
        <v>60</v>
      </c>
      <c r="AB435">
        <v>-1</v>
      </c>
      <c r="AC435">
        <v>0</v>
      </c>
      <c r="AD435">
        <v>-1</v>
      </c>
      <c r="AE435">
        <v>0</v>
      </c>
      <c r="AF435">
        <v>-1</v>
      </c>
      <c r="AG435">
        <v>-1</v>
      </c>
      <c r="AH435">
        <v>-1</v>
      </c>
      <c r="AI435">
        <v>0</v>
      </c>
      <c r="AJ435">
        <v>1</v>
      </c>
      <c r="AK435" t="str">
        <f>VLOOKUP(AJ435, Lookups!$B$23:$C$28, 2, FALSE)</f>
        <v>Daylight</v>
      </c>
      <c r="AL435">
        <v>1</v>
      </c>
      <c r="AM435" t="str">
        <f>VLOOKUP(AL435, Lookups!$B$30:$C$39, 2, FALSE)</f>
        <v>Fine / Clear</v>
      </c>
      <c r="AN435">
        <v>4</v>
      </c>
      <c r="AO435" t="str">
        <f>VLOOKUP(AN435, Lookups!$B$41:$C$49, 2, FALSE)</f>
        <v>Frost or ice</v>
      </c>
      <c r="AP435">
        <v>-1</v>
      </c>
      <c r="AQ435">
        <v>-1</v>
      </c>
      <c r="AR435">
        <v>0</v>
      </c>
      <c r="AS435">
        <v>2</v>
      </c>
      <c r="AT435">
        <v>1</v>
      </c>
      <c r="AU435">
        <v>2</v>
      </c>
      <c r="AV435" t="s">
        <v>267</v>
      </c>
      <c r="AW435">
        <v>3</v>
      </c>
      <c r="AX435">
        <v>1</v>
      </c>
      <c r="AY435">
        <v>0</v>
      </c>
      <c r="AZ435">
        <v>1</v>
      </c>
    </row>
    <row r="436" spans="1:52" x14ac:dyDescent="0.35">
      <c r="A436">
        <v>2025221581316</v>
      </c>
      <c r="B436">
        <v>2025</v>
      </c>
      <c r="C436">
        <v>221581316</v>
      </c>
      <c r="D436">
        <v>382795</v>
      </c>
      <c r="E436">
        <v>269795</v>
      </c>
      <c r="F436">
        <v>-2.25387</v>
      </c>
      <c r="G436">
        <v>52.325980000000001</v>
      </c>
      <c r="H436">
        <v>22</v>
      </c>
      <c r="I436">
        <v>2</v>
      </c>
      <c r="J436" t="str">
        <f>VLOOKUP(I436, Lookups!$B$1:$C$4, 2, FALSE)</f>
        <v>Serious</v>
      </c>
      <c r="K436">
        <v>2</v>
      </c>
      <c r="L436">
        <v>2</v>
      </c>
      <c r="M436" s="1">
        <v>45769</v>
      </c>
      <c r="N436">
        <v>3</v>
      </c>
      <c r="O436" t="str">
        <f>VLOOKUP(N436, Lookups!$B$6:$C$12, 2, FALSE)</f>
        <v>Tuesday</v>
      </c>
      <c r="P436" s="2">
        <v>0.3888888888888889</v>
      </c>
      <c r="Q436">
        <v>-1</v>
      </c>
      <c r="R436" t="s">
        <v>54</v>
      </c>
      <c r="S436" t="s">
        <v>45</v>
      </c>
      <c r="T436" t="s">
        <v>45</v>
      </c>
      <c r="U436">
        <v>3</v>
      </c>
      <c r="V436" t="str">
        <f>VLOOKUP(U436, Lookups!$B$51:$C$57, 2, FALSE)</f>
        <v>A</v>
      </c>
      <c r="W436">
        <v>4025</v>
      </c>
      <c r="X436" t="str">
        <f t="shared" si="58"/>
        <v>A4025</v>
      </c>
      <c r="Y436">
        <v>6</v>
      </c>
      <c r="Z436" t="str">
        <f>VLOOKUP(Y436, Lookups!$B$14:$C$21, 2, FALSE)</f>
        <v>Single carriageway</v>
      </c>
      <c r="AA436">
        <v>40</v>
      </c>
      <c r="AB436">
        <v>-1</v>
      </c>
      <c r="AC436">
        <v>16</v>
      </c>
      <c r="AD436">
        <v>4</v>
      </c>
      <c r="AE436">
        <v>6</v>
      </c>
      <c r="AF436">
        <v>0</v>
      </c>
      <c r="AG436">
        <v>-1</v>
      </c>
      <c r="AH436">
        <v>-1</v>
      </c>
      <c r="AI436">
        <v>0</v>
      </c>
      <c r="AJ436">
        <v>1</v>
      </c>
      <c r="AK436" t="str">
        <f>VLOOKUP(AJ436, Lookups!$B$23:$C$28, 2, FALSE)</f>
        <v>Daylight</v>
      </c>
      <c r="AL436">
        <v>1</v>
      </c>
      <c r="AM436" t="str">
        <f>VLOOKUP(AL436, Lookups!$B$30:$C$39, 2, FALSE)</f>
        <v>Fine / Clear</v>
      </c>
      <c r="AN436">
        <v>1</v>
      </c>
      <c r="AO436" t="str">
        <f>VLOOKUP(AN436, Lookups!$B$41:$C$49, 2, FALSE)</f>
        <v>Dry</v>
      </c>
      <c r="AP436">
        <v>-1</v>
      </c>
      <c r="AQ436">
        <v>-1</v>
      </c>
      <c r="AR436">
        <v>0</v>
      </c>
      <c r="AS436">
        <v>2</v>
      </c>
      <c r="AT436">
        <v>1</v>
      </c>
      <c r="AU436">
        <v>2</v>
      </c>
      <c r="AV436" t="s">
        <v>153</v>
      </c>
      <c r="AW436">
        <v>6</v>
      </c>
      <c r="AX436">
        <v>1</v>
      </c>
      <c r="AY436">
        <v>1</v>
      </c>
      <c r="AZ436">
        <v>0</v>
      </c>
    </row>
    <row r="437" spans="1:52" x14ac:dyDescent="0.35">
      <c r="A437">
        <v>2025221679731</v>
      </c>
      <c r="B437">
        <v>2025</v>
      </c>
      <c r="C437">
        <v>221679731</v>
      </c>
      <c r="D437">
        <v>396769</v>
      </c>
      <c r="E437">
        <v>275225</v>
      </c>
      <c r="F437">
        <v>-2.0488900000000001</v>
      </c>
      <c r="G437">
        <v>52.375059999999998</v>
      </c>
      <c r="H437">
        <v>22</v>
      </c>
      <c r="I437">
        <v>2</v>
      </c>
      <c r="J437" t="str">
        <f>VLOOKUP(I437, Lookups!$B$1:$C$4, 2, FALSE)</f>
        <v>Serious</v>
      </c>
      <c r="K437">
        <v>2</v>
      </c>
      <c r="L437">
        <v>1</v>
      </c>
      <c r="M437" s="1">
        <v>45999</v>
      </c>
      <c r="N437">
        <v>2</v>
      </c>
      <c r="O437" t="str">
        <f>VLOOKUP(N437, Lookups!$B$6:$C$12, 2, FALSE)</f>
        <v>Monday</v>
      </c>
      <c r="P437" s="2">
        <v>0.30555555555555558</v>
      </c>
      <c r="Q437">
        <v>-1</v>
      </c>
      <c r="R437" t="s">
        <v>47</v>
      </c>
      <c r="S437" t="s">
        <v>45</v>
      </c>
      <c r="T437" t="s">
        <v>45</v>
      </c>
      <c r="U437">
        <v>1</v>
      </c>
      <c r="V437" t="str">
        <f>VLOOKUP(U437, Lookups!$B$51:$C$57, 2, FALSE)</f>
        <v>M</v>
      </c>
      <c r="W437">
        <v>5</v>
      </c>
      <c r="X437" t="str">
        <f t="shared" si="58"/>
        <v>M5</v>
      </c>
      <c r="Y437">
        <v>3</v>
      </c>
      <c r="Z437" t="str">
        <f>VLOOKUP(Y437, Lookups!$B$14:$C$21, 2, FALSE)</f>
        <v>Dual carriageway</v>
      </c>
      <c r="AA437">
        <v>70</v>
      </c>
      <c r="AB437">
        <v>-1</v>
      </c>
      <c r="AC437">
        <v>0</v>
      </c>
      <c r="AD437">
        <v>-1</v>
      </c>
      <c r="AE437">
        <v>1</v>
      </c>
      <c r="AF437">
        <v>5</v>
      </c>
      <c r="AG437">
        <v>-1</v>
      </c>
      <c r="AH437">
        <v>-1</v>
      </c>
      <c r="AI437">
        <v>0</v>
      </c>
      <c r="AJ437">
        <v>4</v>
      </c>
      <c r="AK437" t="str">
        <f>VLOOKUP(AJ437, Lookups!$B$23:$C$28, 2, FALSE)</f>
        <v>Darkness (Lit)</v>
      </c>
      <c r="AL437">
        <v>1</v>
      </c>
      <c r="AM437" t="str">
        <f>VLOOKUP(AL437, Lookups!$B$30:$C$39, 2, FALSE)</f>
        <v>Fine / Clear</v>
      </c>
      <c r="AN437">
        <v>2</v>
      </c>
      <c r="AO437" t="str">
        <f>VLOOKUP(AN437, Lookups!$B$41:$C$49, 2, FALSE)</f>
        <v>Wet / damp</v>
      </c>
      <c r="AP437">
        <v>-1</v>
      </c>
      <c r="AQ437">
        <v>-1</v>
      </c>
      <c r="AR437">
        <v>0</v>
      </c>
      <c r="AS437">
        <v>2</v>
      </c>
      <c r="AT437">
        <v>1</v>
      </c>
      <c r="AU437">
        <v>1</v>
      </c>
      <c r="AV437" t="s">
        <v>236</v>
      </c>
      <c r="AW437">
        <v>7</v>
      </c>
      <c r="AX437">
        <v>1</v>
      </c>
      <c r="AY437">
        <v>1</v>
      </c>
      <c r="AZ437">
        <v>0</v>
      </c>
    </row>
    <row r="438" spans="1:52" x14ac:dyDescent="0.35">
      <c r="A438">
        <v>2025221567649</v>
      </c>
      <c r="B438">
        <v>2025</v>
      </c>
      <c r="C438">
        <v>221567649</v>
      </c>
      <c r="D438">
        <v>383806</v>
      </c>
      <c r="E438">
        <v>254476</v>
      </c>
      <c r="F438">
        <v>-2.2383000000000002</v>
      </c>
      <c r="G438">
        <v>52.188290000000002</v>
      </c>
      <c r="H438">
        <v>22</v>
      </c>
      <c r="I438">
        <v>3</v>
      </c>
      <c r="J438" t="str">
        <f>VLOOKUP(I438, Lookups!$B$1:$C$4, 2, FALSE)</f>
        <v>Slight</v>
      </c>
      <c r="K438">
        <v>2</v>
      </c>
      <c r="L438">
        <v>2</v>
      </c>
      <c r="M438" s="1">
        <v>45737</v>
      </c>
      <c r="N438">
        <v>6</v>
      </c>
      <c r="O438" t="str">
        <f>VLOOKUP(N438, Lookups!$B$6:$C$12, 2, FALSE)</f>
        <v>Friday</v>
      </c>
      <c r="P438" s="2">
        <v>0.49027777777777776</v>
      </c>
      <c r="Q438">
        <v>-1</v>
      </c>
      <c r="R438" t="s">
        <v>60</v>
      </c>
      <c r="S438" t="s">
        <v>45</v>
      </c>
      <c r="T438" t="s">
        <v>45</v>
      </c>
      <c r="U438">
        <v>3</v>
      </c>
      <c r="V438" t="str">
        <f>VLOOKUP(U438, Lookups!$B$51:$C$57, 2, FALSE)</f>
        <v>A</v>
      </c>
      <c r="W438">
        <v>44</v>
      </c>
      <c r="X438" t="str">
        <f t="shared" si="58"/>
        <v>A44</v>
      </c>
      <c r="Y438">
        <v>6</v>
      </c>
      <c r="Z438" t="str">
        <f>VLOOKUP(Y438, Lookups!$B$14:$C$21, 2, FALSE)</f>
        <v>Single carriageway</v>
      </c>
      <c r="AA438">
        <v>30</v>
      </c>
      <c r="AB438">
        <v>-1</v>
      </c>
      <c r="AC438">
        <v>13</v>
      </c>
      <c r="AD438">
        <v>2</v>
      </c>
      <c r="AE438">
        <v>6</v>
      </c>
      <c r="AF438">
        <v>0</v>
      </c>
      <c r="AG438">
        <v>-1</v>
      </c>
      <c r="AH438">
        <v>-1</v>
      </c>
      <c r="AI438">
        <v>15</v>
      </c>
      <c r="AJ438">
        <v>1</v>
      </c>
      <c r="AK438" t="str">
        <f>VLOOKUP(AJ438, Lookups!$B$23:$C$28, 2, FALSE)</f>
        <v>Daylight</v>
      </c>
      <c r="AL438">
        <v>1</v>
      </c>
      <c r="AM438" t="str">
        <f>VLOOKUP(AL438, Lookups!$B$30:$C$39, 2, FALSE)</f>
        <v>Fine / Clear</v>
      </c>
      <c r="AN438">
        <v>1</v>
      </c>
      <c r="AO438" t="str">
        <f>VLOOKUP(AN438, Lookups!$B$41:$C$49, 2, FALSE)</f>
        <v>Dry</v>
      </c>
      <c r="AP438">
        <v>-1</v>
      </c>
      <c r="AQ438">
        <v>-1</v>
      </c>
      <c r="AR438">
        <v>0</v>
      </c>
      <c r="AS438">
        <v>1</v>
      </c>
      <c r="AT438">
        <v>3</v>
      </c>
      <c r="AU438">
        <v>2</v>
      </c>
      <c r="AV438" t="s">
        <v>268</v>
      </c>
      <c r="AW438">
        <v>3</v>
      </c>
      <c r="AX438">
        <v>1</v>
      </c>
      <c r="AY438">
        <v>0</v>
      </c>
      <c r="AZ438">
        <v>1</v>
      </c>
    </row>
    <row r="439" spans="1:52" x14ac:dyDescent="0.35">
      <c r="A439">
        <v>2025221685866</v>
      </c>
      <c r="B439">
        <v>2025</v>
      </c>
      <c r="C439">
        <v>221685866</v>
      </c>
      <c r="D439">
        <v>402993</v>
      </c>
      <c r="E439">
        <v>276134</v>
      </c>
      <c r="F439">
        <v>-1.9574499999999999</v>
      </c>
      <c r="G439">
        <v>52.383229999999998</v>
      </c>
      <c r="H439">
        <v>22</v>
      </c>
      <c r="I439">
        <v>3</v>
      </c>
      <c r="J439" t="str">
        <f>VLOOKUP(I439, Lookups!$B$1:$C$4, 2, FALSE)</f>
        <v>Slight</v>
      </c>
      <c r="K439">
        <v>2</v>
      </c>
      <c r="L439">
        <v>2</v>
      </c>
      <c r="M439" s="1">
        <v>46011</v>
      </c>
      <c r="N439">
        <v>7</v>
      </c>
      <c r="O439" t="str">
        <f>VLOOKUP(N439, Lookups!$B$6:$C$12, 2, FALSE)</f>
        <v>Saturday</v>
      </c>
      <c r="P439" s="2">
        <v>0.35486111111111113</v>
      </c>
      <c r="Q439">
        <v>-1</v>
      </c>
      <c r="R439" t="s">
        <v>47</v>
      </c>
      <c r="S439" t="s">
        <v>45</v>
      </c>
      <c r="T439" t="s">
        <v>45</v>
      </c>
      <c r="U439">
        <v>3</v>
      </c>
      <c r="V439" t="str">
        <f>VLOOKUP(U439, Lookups!$B$51:$C$57, 2, FALSE)</f>
        <v>A</v>
      </c>
      <c r="W439">
        <v>441</v>
      </c>
      <c r="X439" t="str">
        <f t="shared" si="58"/>
        <v>A441</v>
      </c>
      <c r="Y439">
        <v>6</v>
      </c>
      <c r="Z439" t="str">
        <f>VLOOKUP(Y439, Lookups!$B$14:$C$21, 2, FALSE)</f>
        <v>Single carriageway</v>
      </c>
      <c r="AA439">
        <v>40</v>
      </c>
      <c r="AB439">
        <v>-1</v>
      </c>
      <c r="AC439">
        <v>0</v>
      </c>
      <c r="AD439">
        <v>-1</v>
      </c>
      <c r="AE439">
        <v>0</v>
      </c>
      <c r="AF439">
        <v>-1</v>
      </c>
      <c r="AG439">
        <v>-1</v>
      </c>
      <c r="AH439">
        <v>-1</v>
      </c>
      <c r="AI439">
        <v>0</v>
      </c>
      <c r="AJ439">
        <v>1</v>
      </c>
      <c r="AK439" t="str">
        <f>VLOOKUP(AJ439, Lookups!$B$23:$C$28, 2, FALSE)</f>
        <v>Daylight</v>
      </c>
      <c r="AL439">
        <v>7</v>
      </c>
      <c r="AM439" t="str">
        <f>VLOOKUP(AL439, Lookups!$B$30:$C$39, 2, FALSE)</f>
        <v>Fog / Mist</v>
      </c>
      <c r="AN439">
        <v>2</v>
      </c>
      <c r="AO439" t="str">
        <f>VLOOKUP(AN439, Lookups!$B$41:$C$49, 2, FALSE)</f>
        <v>Wet / damp</v>
      </c>
      <c r="AP439">
        <v>-1</v>
      </c>
      <c r="AQ439">
        <v>-1</v>
      </c>
      <c r="AR439">
        <v>0</v>
      </c>
      <c r="AS439">
        <v>2</v>
      </c>
      <c r="AT439">
        <v>1</v>
      </c>
      <c r="AU439">
        <v>2</v>
      </c>
      <c r="AV439" t="s">
        <v>77</v>
      </c>
      <c r="AW439">
        <v>3</v>
      </c>
      <c r="AX439">
        <v>1</v>
      </c>
      <c r="AY439">
        <v>0</v>
      </c>
      <c r="AZ439">
        <v>1</v>
      </c>
    </row>
    <row r="440" spans="1:52" x14ac:dyDescent="0.35">
      <c r="A440">
        <v>2025221606637</v>
      </c>
      <c r="B440">
        <v>2025</v>
      </c>
      <c r="C440">
        <v>221606637</v>
      </c>
      <c r="D440">
        <v>400403</v>
      </c>
      <c r="E440">
        <v>268748</v>
      </c>
      <c r="F440">
        <v>-1.9955099999999999</v>
      </c>
      <c r="G440">
        <v>52.316839999999999</v>
      </c>
      <c r="H440">
        <v>22</v>
      </c>
      <c r="I440">
        <v>2</v>
      </c>
      <c r="J440" t="str">
        <f>VLOOKUP(I440, Lookups!$B$1:$C$4, 2, FALSE)</f>
        <v>Serious</v>
      </c>
      <c r="K440">
        <v>2</v>
      </c>
      <c r="L440">
        <v>3</v>
      </c>
      <c r="M440" s="1">
        <v>45831</v>
      </c>
      <c r="N440">
        <v>2</v>
      </c>
      <c r="O440" t="str">
        <f>VLOOKUP(N440, Lookups!$B$6:$C$12, 2, FALSE)</f>
        <v>Monday</v>
      </c>
      <c r="P440" s="2">
        <v>0.59166666666666667</v>
      </c>
      <c r="Q440">
        <v>-1</v>
      </c>
      <c r="R440" t="s">
        <v>47</v>
      </c>
      <c r="S440" t="s">
        <v>45</v>
      </c>
      <c r="T440" t="s">
        <v>45</v>
      </c>
      <c r="U440">
        <v>4</v>
      </c>
      <c r="V440" t="str">
        <f>VLOOKUP(U440, Lookups!$B$51:$C$57, 2, FALSE)</f>
        <v>B</v>
      </c>
      <c r="W440">
        <v>4096</v>
      </c>
      <c r="X440" t="str">
        <f t="shared" si="58"/>
        <v>B4096</v>
      </c>
      <c r="Y440">
        <v>6</v>
      </c>
      <c r="Z440" t="str">
        <f>VLOOKUP(Y440, Lookups!$B$14:$C$21, 2, FALSE)</f>
        <v>Single carriageway</v>
      </c>
      <c r="AA440">
        <v>40</v>
      </c>
      <c r="AB440">
        <v>-1</v>
      </c>
      <c r="AC440">
        <v>0</v>
      </c>
      <c r="AD440">
        <v>-1</v>
      </c>
      <c r="AE440">
        <v>0</v>
      </c>
      <c r="AF440">
        <v>-1</v>
      </c>
      <c r="AG440">
        <v>-1</v>
      </c>
      <c r="AH440">
        <v>-1</v>
      </c>
      <c r="AI440">
        <v>0</v>
      </c>
      <c r="AJ440">
        <v>1</v>
      </c>
      <c r="AK440" t="str">
        <f>VLOOKUP(AJ440, Lookups!$B$23:$C$28, 2, FALSE)</f>
        <v>Daylight</v>
      </c>
      <c r="AL440">
        <v>1</v>
      </c>
      <c r="AM440" t="str">
        <f>VLOOKUP(AL440, Lookups!$B$30:$C$39, 2, FALSE)</f>
        <v>Fine / Clear</v>
      </c>
      <c r="AN440">
        <v>1</v>
      </c>
      <c r="AO440" t="str">
        <f>VLOOKUP(AN440, Lookups!$B$41:$C$49, 2, FALSE)</f>
        <v>Dry</v>
      </c>
      <c r="AP440">
        <v>-1</v>
      </c>
      <c r="AQ440">
        <v>-1</v>
      </c>
      <c r="AR440">
        <v>0</v>
      </c>
      <c r="AS440">
        <v>2</v>
      </c>
      <c r="AT440">
        <v>1</v>
      </c>
      <c r="AU440">
        <v>2</v>
      </c>
      <c r="AV440" t="s">
        <v>56</v>
      </c>
      <c r="AW440">
        <v>6</v>
      </c>
      <c r="AX440">
        <v>1</v>
      </c>
      <c r="AY440">
        <v>1</v>
      </c>
      <c r="AZ440">
        <v>0</v>
      </c>
    </row>
    <row r="441" spans="1:52" x14ac:dyDescent="0.35">
      <c r="A441">
        <v>2025221608950</v>
      </c>
      <c r="B441">
        <v>2025</v>
      </c>
      <c r="C441">
        <v>221608950</v>
      </c>
      <c r="D441">
        <v>396809</v>
      </c>
      <c r="E441">
        <v>270757</v>
      </c>
      <c r="F441">
        <v>-2.0482499999999999</v>
      </c>
      <c r="G441">
        <v>52.334890000000001</v>
      </c>
      <c r="H441">
        <v>22</v>
      </c>
      <c r="I441">
        <v>3</v>
      </c>
      <c r="J441" t="str">
        <f>VLOOKUP(I441, Lookups!$B$1:$C$4, 2, FALSE)</f>
        <v>Slight</v>
      </c>
      <c r="K441">
        <v>2</v>
      </c>
      <c r="L441">
        <v>2</v>
      </c>
      <c r="M441" s="1">
        <v>45836</v>
      </c>
      <c r="N441">
        <v>7</v>
      </c>
      <c r="O441" t="str">
        <f>VLOOKUP(N441, Lookups!$B$6:$C$12, 2, FALSE)</f>
        <v>Saturday</v>
      </c>
      <c r="P441" s="2">
        <v>0.50694444444444442</v>
      </c>
      <c r="Q441">
        <v>-1</v>
      </c>
      <c r="R441" t="s">
        <v>47</v>
      </c>
      <c r="S441" t="s">
        <v>45</v>
      </c>
      <c r="T441" t="s">
        <v>45</v>
      </c>
      <c r="U441">
        <v>3</v>
      </c>
      <c r="V441" t="str">
        <f>VLOOKUP(U441, Lookups!$B$51:$C$57, 2, FALSE)</f>
        <v>A</v>
      </c>
      <c r="W441">
        <v>448</v>
      </c>
      <c r="X441" t="str">
        <f t="shared" si="58"/>
        <v>A448</v>
      </c>
      <c r="Y441">
        <v>6</v>
      </c>
      <c r="Z441" t="str">
        <f>VLOOKUP(Y441, Lookups!$B$14:$C$21, 2, FALSE)</f>
        <v>Single carriageway</v>
      </c>
      <c r="AA441">
        <v>30</v>
      </c>
      <c r="AB441">
        <v>-1</v>
      </c>
      <c r="AC441">
        <v>0</v>
      </c>
      <c r="AD441">
        <v>-1</v>
      </c>
      <c r="AE441">
        <v>3</v>
      </c>
      <c r="AF441">
        <v>38</v>
      </c>
      <c r="AG441">
        <v>-1</v>
      </c>
      <c r="AH441">
        <v>-1</v>
      </c>
      <c r="AI441">
        <v>0</v>
      </c>
      <c r="AJ441">
        <v>1</v>
      </c>
      <c r="AK441" t="str">
        <f>VLOOKUP(AJ441, Lookups!$B$23:$C$28, 2, FALSE)</f>
        <v>Daylight</v>
      </c>
      <c r="AL441">
        <v>1</v>
      </c>
      <c r="AM441" t="str">
        <f>VLOOKUP(AL441, Lookups!$B$30:$C$39, 2, FALSE)</f>
        <v>Fine / Clear</v>
      </c>
      <c r="AN441">
        <v>1</v>
      </c>
      <c r="AO441" t="str">
        <f>VLOOKUP(AN441, Lookups!$B$41:$C$49, 2, FALSE)</f>
        <v>Dry</v>
      </c>
      <c r="AP441">
        <v>-1</v>
      </c>
      <c r="AQ441">
        <v>-1</v>
      </c>
      <c r="AR441">
        <v>0</v>
      </c>
      <c r="AS441">
        <v>2</v>
      </c>
      <c r="AT441">
        <v>3</v>
      </c>
      <c r="AU441">
        <v>2</v>
      </c>
      <c r="AV441" t="s">
        <v>133</v>
      </c>
      <c r="AW441">
        <v>3</v>
      </c>
      <c r="AX441">
        <v>1</v>
      </c>
      <c r="AY441">
        <v>0</v>
      </c>
      <c r="AZ441">
        <v>1</v>
      </c>
    </row>
    <row r="442" spans="1:52" x14ac:dyDescent="0.35">
      <c r="A442">
        <v>2025221677566</v>
      </c>
      <c r="B442">
        <v>2025</v>
      </c>
      <c r="C442">
        <v>221677566</v>
      </c>
      <c r="D442">
        <v>389199</v>
      </c>
      <c r="E442">
        <v>264491</v>
      </c>
      <c r="F442">
        <v>-2.1597300000000001</v>
      </c>
      <c r="G442">
        <v>52.278460000000003</v>
      </c>
      <c r="H442">
        <v>22</v>
      </c>
      <c r="I442">
        <v>2</v>
      </c>
      <c r="J442" t="str">
        <f>VLOOKUP(I442, Lookups!$B$1:$C$4, 2, FALSE)</f>
        <v>Serious</v>
      </c>
      <c r="K442">
        <v>1</v>
      </c>
      <c r="L442">
        <v>1</v>
      </c>
      <c r="M442" s="1">
        <v>45994</v>
      </c>
      <c r="N442">
        <v>4</v>
      </c>
      <c r="O442" t="str">
        <f>VLOOKUP(N442, Lookups!$B$6:$C$12, 2, FALSE)</f>
        <v>Wednesday</v>
      </c>
      <c r="P442" s="2">
        <v>0.3611111111111111</v>
      </c>
      <c r="Q442">
        <v>-1</v>
      </c>
      <c r="R442" t="s">
        <v>54</v>
      </c>
      <c r="S442" t="s">
        <v>45</v>
      </c>
      <c r="T442" t="s">
        <v>45</v>
      </c>
      <c r="U442">
        <v>6</v>
      </c>
      <c r="V442" t="str">
        <f>VLOOKUP(U442, Lookups!$B$51:$C$57, 2, FALSE)</f>
        <v>Unclassified</v>
      </c>
      <c r="W442">
        <v>0</v>
      </c>
      <c r="X442" t="s">
        <v>362</v>
      </c>
      <c r="Y442">
        <v>6</v>
      </c>
      <c r="Z442" t="str">
        <f>VLOOKUP(Y442, Lookups!$B$14:$C$21, 2, FALSE)</f>
        <v>Single carriageway</v>
      </c>
      <c r="AA442">
        <v>30</v>
      </c>
      <c r="AB442">
        <v>-1</v>
      </c>
      <c r="AC442">
        <v>13</v>
      </c>
      <c r="AD442">
        <v>4</v>
      </c>
      <c r="AE442">
        <v>6</v>
      </c>
      <c r="AF442">
        <v>0</v>
      </c>
      <c r="AG442">
        <v>-1</v>
      </c>
      <c r="AH442">
        <v>-1</v>
      </c>
      <c r="AI442">
        <v>0</v>
      </c>
      <c r="AJ442">
        <v>1</v>
      </c>
      <c r="AK442" t="str">
        <f>VLOOKUP(AJ442, Lookups!$B$23:$C$28, 2, FALSE)</f>
        <v>Daylight</v>
      </c>
      <c r="AL442">
        <v>1</v>
      </c>
      <c r="AM442" t="str">
        <f>VLOOKUP(AL442, Lookups!$B$30:$C$39, 2, FALSE)</f>
        <v>Fine / Clear</v>
      </c>
      <c r="AN442">
        <v>2</v>
      </c>
      <c r="AO442" t="str">
        <f>VLOOKUP(AN442, Lookups!$B$41:$C$49, 2, FALSE)</f>
        <v>Wet / damp</v>
      </c>
      <c r="AP442">
        <v>-1</v>
      </c>
      <c r="AQ442">
        <v>-1</v>
      </c>
      <c r="AR442">
        <v>0</v>
      </c>
      <c r="AS442">
        <v>1</v>
      </c>
      <c r="AT442">
        <v>1</v>
      </c>
      <c r="AU442">
        <v>2</v>
      </c>
      <c r="AV442" t="s">
        <v>269</v>
      </c>
      <c r="AW442">
        <v>7</v>
      </c>
      <c r="AX442">
        <v>1</v>
      </c>
      <c r="AY442">
        <v>1</v>
      </c>
      <c r="AZ442">
        <v>0</v>
      </c>
    </row>
    <row r="443" spans="1:52" x14ac:dyDescent="0.35">
      <c r="A443">
        <v>2025221566396</v>
      </c>
      <c r="B443">
        <v>2025</v>
      </c>
      <c r="C443">
        <v>221566396</v>
      </c>
      <c r="D443">
        <v>409147</v>
      </c>
      <c r="E443">
        <v>237769</v>
      </c>
      <c r="F443">
        <v>-1.8680600000000001</v>
      </c>
      <c r="G443">
        <v>52.038249999999998</v>
      </c>
      <c r="H443">
        <v>22</v>
      </c>
      <c r="I443">
        <v>3</v>
      </c>
      <c r="J443" t="str">
        <f>VLOOKUP(I443, Lookups!$B$1:$C$4, 2, FALSE)</f>
        <v>Slight</v>
      </c>
      <c r="K443">
        <v>2</v>
      </c>
      <c r="L443">
        <v>1</v>
      </c>
      <c r="M443" s="1">
        <v>45734</v>
      </c>
      <c r="N443">
        <v>3</v>
      </c>
      <c r="O443" t="str">
        <f>VLOOKUP(N443, Lookups!$B$6:$C$12, 2, FALSE)</f>
        <v>Tuesday</v>
      </c>
      <c r="P443" s="2">
        <v>0.61458333333333337</v>
      </c>
      <c r="Q443">
        <v>-1</v>
      </c>
      <c r="R443" t="s">
        <v>54</v>
      </c>
      <c r="S443" t="s">
        <v>45</v>
      </c>
      <c r="T443" t="s">
        <v>45</v>
      </c>
      <c r="U443">
        <v>4</v>
      </c>
      <c r="V443" t="str">
        <f>VLOOKUP(U443, Lookups!$B$51:$C$57, 2, FALSE)</f>
        <v>B</v>
      </c>
      <c r="W443">
        <v>4632</v>
      </c>
      <c r="X443" t="str">
        <f t="shared" ref="X443:X450" si="59">V443&amp;W443</f>
        <v>B4632</v>
      </c>
      <c r="Y443">
        <v>6</v>
      </c>
      <c r="Z443" t="str">
        <f>VLOOKUP(Y443, Lookups!$B$14:$C$21, 2, FALSE)</f>
        <v>Single carriageway</v>
      </c>
      <c r="AA443">
        <v>30</v>
      </c>
      <c r="AB443">
        <v>-1</v>
      </c>
      <c r="AC443">
        <v>0</v>
      </c>
      <c r="AD443">
        <v>-1</v>
      </c>
      <c r="AE443">
        <v>6</v>
      </c>
      <c r="AF443">
        <v>0</v>
      </c>
      <c r="AG443">
        <v>-1</v>
      </c>
      <c r="AH443">
        <v>-1</v>
      </c>
      <c r="AI443">
        <v>0</v>
      </c>
      <c r="AJ443">
        <v>1</v>
      </c>
      <c r="AK443" t="str">
        <f>VLOOKUP(AJ443, Lookups!$B$23:$C$28, 2, FALSE)</f>
        <v>Daylight</v>
      </c>
      <c r="AL443">
        <v>1</v>
      </c>
      <c r="AM443" t="str">
        <f>VLOOKUP(AL443, Lookups!$B$30:$C$39, 2, FALSE)</f>
        <v>Fine / Clear</v>
      </c>
      <c r="AN443">
        <v>1</v>
      </c>
      <c r="AO443" t="str">
        <f>VLOOKUP(AN443, Lookups!$B$41:$C$49, 2, FALSE)</f>
        <v>Dry</v>
      </c>
      <c r="AP443">
        <v>-1</v>
      </c>
      <c r="AQ443">
        <v>-1</v>
      </c>
      <c r="AR443">
        <v>0</v>
      </c>
      <c r="AS443">
        <v>2</v>
      </c>
      <c r="AT443">
        <v>1</v>
      </c>
      <c r="AU443">
        <v>2</v>
      </c>
      <c r="AV443" t="s">
        <v>94</v>
      </c>
      <c r="AW443">
        <v>3</v>
      </c>
      <c r="AX443">
        <v>1</v>
      </c>
      <c r="AY443">
        <v>0</v>
      </c>
      <c r="AZ443">
        <v>1</v>
      </c>
    </row>
    <row r="444" spans="1:52" x14ac:dyDescent="0.35">
      <c r="A444">
        <v>2025221588440</v>
      </c>
      <c r="B444">
        <v>2025</v>
      </c>
      <c r="C444">
        <v>221588440</v>
      </c>
      <c r="D444">
        <v>393140</v>
      </c>
      <c r="E444">
        <v>254402</v>
      </c>
      <c r="F444">
        <v>-2.1017600000000001</v>
      </c>
      <c r="G444">
        <v>52.187820000000002</v>
      </c>
      <c r="H444">
        <v>22</v>
      </c>
      <c r="I444">
        <v>2</v>
      </c>
      <c r="J444" t="str">
        <f>VLOOKUP(I444, Lookups!$B$1:$C$4, 2, FALSE)</f>
        <v>Serious</v>
      </c>
      <c r="K444">
        <v>3</v>
      </c>
      <c r="L444">
        <v>1</v>
      </c>
      <c r="M444" s="1">
        <v>45788</v>
      </c>
      <c r="N444">
        <v>1</v>
      </c>
      <c r="O444" t="str">
        <f>VLOOKUP(N444, Lookups!$B$6:$C$12, 2, FALSE)</f>
        <v>Sunday</v>
      </c>
      <c r="P444" s="2">
        <v>0.40277777777777779</v>
      </c>
      <c r="Q444">
        <v>-1</v>
      </c>
      <c r="R444" t="s">
        <v>54</v>
      </c>
      <c r="S444" t="s">
        <v>45</v>
      </c>
      <c r="T444" t="s">
        <v>45</v>
      </c>
      <c r="U444">
        <v>3</v>
      </c>
      <c r="V444" t="str">
        <f>VLOOKUP(U444, Lookups!$B$51:$C$57, 2, FALSE)</f>
        <v>A</v>
      </c>
      <c r="W444">
        <v>422</v>
      </c>
      <c r="X444" t="str">
        <f t="shared" si="59"/>
        <v>A422</v>
      </c>
      <c r="Y444">
        <v>6</v>
      </c>
      <c r="Z444" t="str">
        <f>VLOOKUP(Y444, Lookups!$B$14:$C$21, 2, FALSE)</f>
        <v>Single carriageway</v>
      </c>
      <c r="AA444">
        <v>60</v>
      </c>
      <c r="AB444">
        <v>-1</v>
      </c>
      <c r="AC444">
        <v>0</v>
      </c>
      <c r="AD444">
        <v>-1</v>
      </c>
      <c r="AE444">
        <v>0</v>
      </c>
      <c r="AF444">
        <v>-1</v>
      </c>
      <c r="AG444">
        <v>-1</v>
      </c>
      <c r="AH444">
        <v>-1</v>
      </c>
      <c r="AI444">
        <v>0</v>
      </c>
      <c r="AJ444">
        <v>1</v>
      </c>
      <c r="AK444" t="str">
        <f>VLOOKUP(AJ444, Lookups!$B$23:$C$28, 2, FALSE)</f>
        <v>Daylight</v>
      </c>
      <c r="AL444">
        <v>1</v>
      </c>
      <c r="AM444" t="str">
        <f>VLOOKUP(AL444, Lookups!$B$30:$C$39, 2, FALSE)</f>
        <v>Fine / Clear</v>
      </c>
      <c r="AN444">
        <v>1</v>
      </c>
      <c r="AO444" t="str">
        <f>VLOOKUP(AN444, Lookups!$B$41:$C$49, 2, FALSE)</f>
        <v>Dry</v>
      </c>
      <c r="AP444">
        <v>-1</v>
      </c>
      <c r="AQ444">
        <v>-1</v>
      </c>
      <c r="AR444">
        <v>0</v>
      </c>
      <c r="AS444">
        <v>2</v>
      </c>
      <c r="AT444">
        <v>1</v>
      </c>
      <c r="AU444">
        <v>2</v>
      </c>
      <c r="AV444" t="s">
        <v>55</v>
      </c>
      <c r="AW444">
        <v>6</v>
      </c>
      <c r="AX444">
        <v>1</v>
      </c>
      <c r="AY444">
        <v>1</v>
      </c>
      <c r="AZ444">
        <v>0</v>
      </c>
    </row>
    <row r="445" spans="1:52" x14ac:dyDescent="0.35">
      <c r="A445">
        <v>2025221612655</v>
      </c>
      <c r="B445">
        <v>2025</v>
      </c>
      <c r="C445">
        <v>221612655</v>
      </c>
      <c r="D445">
        <v>384118</v>
      </c>
      <c r="E445">
        <v>276274</v>
      </c>
      <c r="F445">
        <v>-2.2347700000000001</v>
      </c>
      <c r="G445">
        <v>52.384259999999998</v>
      </c>
      <c r="H445">
        <v>22</v>
      </c>
      <c r="I445">
        <v>2</v>
      </c>
      <c r="J445" t="str">
        <f>VLOOKUP(I445, Lookups!$B$1:$C$4, 2, FALSE)</f>
        <v>Serious</v>
      </c>
      <c r="K445">
        <v>2</v>
      </c>
      <c r="L445">
        <v>1</v>
      </c>
      <c r="M445" s="1">
        <v>45822</v>
      </c>
      <c r="N445">
        <v>7</v>
      </c>
      <c r="O445" t="str">
        <f>VLOOKUP(N445, Lookups!$B$6:$C$12, 2, FALSE)</f>
        <v>Saturday</v>
      </c>
      <c r="P445" s="2">
        <v>4.791666666666667E-2</v>
      </c>
      <c r="Q445">
        <v>-1</v>
      </c>
      <c r="R445" t="s">
        <v>44</v>
      </c>
      <c r="S445" t="s">
        <v>45</v>
      </c>
      <c r="T445" t="s">
        <v>45</v>
      </c>
      <c r="U445">
        <v>3</v>
      </c>
      <c r="V445" t="str">
        <f>VLOOKUP(U445, Lookups!$B$51:$C$57, 2, FALSE)</f>
        <v>A</v>
      </c>
      <c r="W445">
        <v>448</v>
      </c>
      <c r="X445" t="str">
        <f t="shared" si="59"/>
        <v>A448</v>
      </c>
      <c r="Y445">
        <v>6</v>
      </c>
      <c r="Z445" t="str">
        <f>VLOOKUP(Y445, Lookups!$B$14:$C$21, 2, FALSE)</f>
        <v>Single carriageway</v>
      </c>
      <c r="AA445">
        <v>30</v>
      </c>
      <c r="AB445">
        <v>-1</v>
      </c>
      <c r="AC445">
        <v>16</v>
      </c>
      <c r="AD445">
        <v>2</v>
      </c>
      <c r="AE445">
        <v>3</v>
      </c>
      <c r="AF445">
        <v>449</v>
      </c>
      <c r="AG445">
        <v>-1</v>
      </c>
      <c r="AH445">
        <v>-1</v>
      </c>
      <c r="AI445">
        <v>15</v>
      </c>
      <c r="AJ445">
        <v>4</v>
      </c>
      <c r="AK445" t="str">
        <f>VLOOKUP(AJ445, Lookups!$B$23:$C$28, 2, FALSE)</f>
        <v>Darkness (Lit)</v>
      </c>
      <c r="AL445">
        <v>1</v>
      </c>
      <c r="AM445" t="str">
        <f>VLOOKUP(AL445, Lookups!$B$30:$C$39, 2, FALSE)</f>
        <v>Fine / Clear</v>
      </c>
      <c r="AN445">
        <v>1</v>
      </c>
      <c r="AO445" t="str">
        <f>VLOOKUP(AN445, Lookups!$B$41:$C$49, 2, FALSE)</f>
        <v>Dry</v>
      </c>
      <c r="AP445">
        <v>-1</v>
      </c>
      <c r="AQ445">
        <v>-1</v>
      </c>
      <c r="AR445">
        <v>0</v>
      </c>
      <c r="AS445">
        <v>1</v>
      </c>
      <c r="AT445">
        <v>1</v>
      </c>
      <c r="AU445">
        <v>2</v>
      </c>
      <c r="AV445" t="s">
        <v>213</v>
      </c>
      <c r="AW445">
        <v>6</v>
      </c>
      <c r="AX445">
        <v>1</v>
      </c>
      <c r="AY445">
        <v>1</v>
      </c>
      <c r="AZ445">
        <v>0</v>
      </c>
    </row>
    <row r="446" spans="1:52" x14ac:dyDescent="0.35">
      <c r="A446">
        <v>2025221588147</v>
      </c>
      <c r="B446">
        <v>2025</v>
      </c>
      <c r="C446">
        <v>221588147</v>
      </c>
      <c r="D446">
        <v>411225</v>
      </c>
      <c r="E446">
        <v>236975</v>
      </c>
      <c r="F446">
        <v>-1.83779</v>
      </c>
      <c r="G446">
        <v>52.03107</v>
      </c>
      <c r="H446">
        <v>22</v>
      </c>
      <c r="I446">
        <v>2</v>
      </c>
      <c r="J446" t="str">
        <f>VLOOKUP(I446, Lookups!$B$1:$C$4, 2, FALSE)</f>
        <v>Serious</v>
      </c>
      <c r="K446">
        <v>1</v>
      </c>
      <c r="L446">
        <v>1</v>
      </c>
      <c r="M446" s="1">
        <v>45787</v>
      </c>
      <c r="N446">
        <v>7</v>
      </c>
      <c r="O446" t="str">
        <f>VLOOKUP(N446, Lookups!$B$6:$C$12, 2, FALSE)</f>
        <v>Saturday</v>
      </c>
      <c r="P446" s="2">
        <v>0.48194444444444445</v>
      </c>
      <c r="Q446">
        <v>-1</v>
      </c>
      <c r="R446" t="s">
        <v>54</v>
      </c>
      <c r="S446" t="s">
        <v>45</v>
      </c>
      <c r="T446" t="s">
        <v>45</v>
      </c>
      <c r="U446">
        <v>3</v>
      </c>
      <c r="V446" t="str">
        <f>VLOOKUP(U446, Lookups!$B$51:$C$57, 2, FALSE)</f>
        <v>A</v>
      </c>
      <c r="W446">
        <v>44</v>
      </c>
      <c r="X446" t="str">
        <f t="shared" si="59"/>
        <v>A44</v>
      </c>
      <c r="Y446">
        <v>6</v>
      </c>
      <c r="Z446" t="str">
        <f>VLOOKUP(Y446, Lookups!$B$14:$C$21, 2, FALSE)</f>
        <v>Single carriageway</v>
      </c>
      <c r="AA446">
        <v>60</v>
      </c>
      <c r="AB446">
        <v>-1</v>
      </c>
      <c r="AC446">
        <v>0</v>
      </c>
      <c r="AD446">
        <v>-1</v>
      </c>
      <c r="AE446">
        <v>0</v>
      </c>
      <c r="AF446">
        <v>-1</v>
      </c>
      <c r="AG446">
        <v>-1</v>
      </c>
      <c r="AH446">
        <v>-1</v>
      </c>
      <c r="AI446">
        <v>0</v>
      </c>
      <c r="AJ446">
        <v>1</v>
      </c>
      <c r="AK446" t="str">
        <f>VLOOKUP(AJ446, Lookups!$B$23:$C$28, 2, FALSE)</f>
        <v>Daylight</v>
      </c>
      <c r="AL446">
        <v>1</v>
      </c>
      <c r="AM446" t="str">
        <f>VLOOKUP(AL446, Lookups!$B$30:$C$39, 2, FALSE)</f>
        <v>Fine / Clear</v>
      </c>
      <c r="AN446">
        <v>1</v>
      </c>
      <c r="AO446" t="str">
        <f>VLOOKUP(AN446, Lookups!$B$41:$C$49, 2, FALSE)</f>
        <v>Dry</v>
      </c>
      <c r="AP446">
        <v>-1</v>
      </c>
      <c r="AQ446">
        <v>-1</v>
      </c>
      <c r="AR446">
        <v>0</v>
      </c>
      <c r="AS446">
        <v>2</v>
      </c>
      <c r="AT446">
        <v>1</v>
      </c>
      <c r="AU446">
        <v>2</v>
      </c>
      <c r="AV446" t="s">
        <v>94</v>
      </c>
      <c r="AW446">
        <v>5</v>
      </c>
      <c r="AX446">
        <v>1</v>
      </c>
      <c r="AY446">
        <v>1</v>
      </c>
      <c r="AZ446">
        <v>0</v>
      </c>
    </row>
    <row r="447" spans="1:52" x14ac:dyDescent="0.35">
      <c r="A447">
        <v>2025221598544</v>
      </c>
      <c r="B447">
        <v>2025</v>
      </c>
      <c r="C447">
        <v>221598544</v>
      </c>
      <c r="D447">
        <v>383553</v>
      </c>
      <c r="E447">
        <v>252246</v>
      </c>
      <c r="F447">
        <v>-2.2418900000000002</v>
      </c>
      <c r="G447">
        <v>52.168230000000001</v>
      </c>
      <c r="H447">
        <v>22</v>
      </c>
      <c r="I447">
        <v>2</v>
      </c>
      <c r="J447" t="str">
        <f>VLOOKUP(I447, Lookups!$B$1:$C$4, 2, FALSE)</f>
        <v>Serious</v>
      </c>
      <c r="K447">
        <v>2</v>
      </c>
      <c r="L447">
        <v>1</v>
      </c>
      <c r="M447" s="1">
        <v>45812</v>
      </c>
      <c r="N447">
        <v>4</v>
      </c>
      <c r="O447" t="str">
        <f>VLOOKUP(N447, Lookups!$B$6:$C$12, 2, FALSE)</f>
        <v>Wednesday</v>
      </c>
      <c r="P447" s="2">
        <v>0.46111111111111114</v>
      </c>
      <c r="Q447">
        <v>-1</v>
      </c>
      <c r="R447" t="s">
        <v>49</v>
      </c>
      <c r="S447" t="s">
        <v>45</v>
      </c>
      <c r="T447" t="s">
        <v>45</v>
      </c>
      <c r="U447">
        <v>3</v>
      </c>
      <c r="V447" t="str">
        <f>VLOOKUP(U447, Lookups!$B$51:$C$57, 2, FALSE)</f>
        <v>A</v>
      </c>
      <c r="W447">
        <v>449</v>
      </c>
      <c r="X447" t="str">
        <f t="shared" si="59"/>
        <v>A449</v>
      </c>
      <c r="Y447">
        <v>1</v>
      </c>
      <c r="Z447" t="str">
        <f>VLOOKUP(Y447, Lookups!$B$14:$C$21, 2, FALSE)</f>
        <v>Roundabout</v>
      </c>
      <c r="AA447">
        <v>40</v>
      </c>
      <c r="AB447">
        <v>-1</v>
      </c>
      <c r="AC447">
        <v>-1</v>
      </c>
      <c r="AD447">
        <v>4</v>
      </c>
      <c r="AE447">
        <v>3</v>
      </c>
      <c r="AF447">
        <v>4440</v>
      </c>
      <c r="AG447">
        <v>-1</v>
      </c>
      <c r="AH447">
        <v>-1</v>
      </c>
      <c r="AI447">
        <v>14</v>
      </c>
      <c r="AJ447">
        <v>1</v>
      </c>
      <c r="AK447" t="str">
        <f>VLOOKUP(AJ447, Lookups!$B$23:$C$28, 2, FALSE)</f>
        <v>Daylight</v>
      </c>
      <c r="AL447">
        <v>1</v>
      </c>
      <c r="AM447" t="str">
        <f>VLOOKUP(AL447, Lookups!$B$30:$C$39, 2, FALSE)</f>
        <v>Fine / Clear</v>
      </c>
      <c r="AN447">
        <v>1</v>
      </c>
      <c r="AO447" t="str">
        <f>VLOOKUP(AN447, Lookups!$B$41:$C$49, 2, FALSE)</f>
        <v>Dry</v>
      </c>
      <c r="AP447">
        <v>-1</v>
      </c>
      <c r="AQ447">
        <v>-1</v>
      </c>
      <c r="AR447">
        <v>0</v>
      </c>
      <c r="AS447">
        <v>2</v>
      </c>
      <c r="AT447">
        <v>1</v>
      </c>
      <c r="AU447">
        <v>2</v>
      </c>
      <c r="AV447" t="s">
        <v>65</v>
      </c>
      <c r="AW447">
        <v>7</v>
      </c>
      <c r="AX447">
        <v>1</v>
      </c>
      <c r="AY447">
        <v>1</v>
      </c>
      <c r="AZ447">
        <v>0</v>
      </c>
    </row>
    <row r="448" spans="1:52" x14ac:dyDescent="0.35">
      <c r="A448">
        <v>2025221601115</v>
      </c>
      <c r="B448">
        <v>2025</v>
      </c>
      <c r="C448">
        <v>221601115</v>
      </c>
      <c r="D448">
        <v>379579</v>
      </c>
      <c r="E448">
        <v>239891</v>
      </c>
      <c r="F448">
        <v>-2.2992499999999998</v>
      </c>
      <c r="G448">
        <v>52.057020000000001</v>
      </c>
      <c r="H448">
        <v>22</v>
      </c>
      <c r="I448">
        <v>3</v>
      </c>
      <c r="J448" t="str">
        <f>VLOOKUP(I448, Lookups!$B$1:$C$4, 2, FALSE)</f>
        <v>Slight</v>
      </c>
      <c r="K448">
        <v>1</v>
      </c>
      <c r="L448">
        <v>1</v>
      </c>
      <c r="M448" s="1">
        <v>45816</v>
      </c>
      <c r="N448">
        <v>1</v>
      </c>
      <c r="O448" t="str">
        <f>VLOOKUP(N448, Lookups!$B$6:$C$12, 2, FALSE)</f>
        <v>Sunday</v>
      </c>
      <c r="P448" s="2">
        <v>0.51041666666666663</v>
      </c>
      <c r="Q448">
        <v>-1</v>
      </c>
      <c r="R448" t="s">
        <v>49</v>
      </c>
      <c r="S448" t="s">
        <v>45</v>
      </c>
      <c r="T448" t="s">
        <v>45</v>
      </c>
      <c r="U448">
        <v>4</v>
      </c>
      <c r="V448" t="str">
        <f>VLOOKUP(U448, Lookups!$B$51:$C$57, 2, FALSE)</f>
        <v>B</v>
      </c>
      <c r="W448">
        <v>4208</v>
      </c>
      <c r="X448" t="str">
        <f t="shared" si="59"/>
        <v>B4208</v>
      </c>
      <c r="Y448">
        <v>6</v>
      </c>
      <c r="Z448" t="str">
        <f>VLOOKUP(Y448, Lookups!$B$14:$C$21, 2, FALSE)</f>
        <v>Single carriageway</v>
      </c>
      <c r="AA448">
        <v>30</v>
      </c>
      <c r="AB448">
        <v>-1</v>
      </c>
      <c r="AC448">
        <v>0</v>
      </c>
      <c r="AD448">
        <v>-1</v>
      </c>
      <c r="AE448">
        <v>6</v>
      </c>
      <c r="AF448">
        <v>0</v>
      </c>
      <c r="AG448">
        <v>-1</v>
      </c>
      <c r="AH448">
        <v>-1</v>
      </c>
      <c r="AI448">
        <v>0</v>
      </c>
      <c r="AJ448">
        <v>1</v>
      </c>
      <c r="AK448" t="str">
        <f>VLOOKUP(AJ448, Lookups!$B$23:$C$28, 2, FALSE)</f>
        <v>Daylight</v>
      </c>
      <c r="AL448">
        <v>1</v>
      </c>
      <c r="AM448" t="str">
        <f>VLOOKUP(AL448, Lookups!$B$30:$C$39, 2, FALSE)</f>
        <v>Fine / Clear</v>
      </c>
      <c r="AN448">
        <v>1</v>
      </c>
      <c r="AO448" t="str">
        <f>VLOOKUP(AN448, Lookups!$B$41:$C$49, 2, FALSE)</f>
        <v>Dry</v>
      </c>
      <c r="AP448">
        <v>-1</v>
      </c>
      <c r="AQ448">
        <v>-1</v>
      </c>
      <c r="AR448">
        <v>0</v>
      </c>
      <c r="AS448">
        <v>2</v>
      </c>
      <c r="AT448">
        <v>3</v>
      </c>
      <c r="AU448">
        <v>2</v>
      </c>
      <c r="AV448" t="s">
        <v>161</v>
      </c>
      <c r="AW448">
        <v>3</v>
      </c>
      <c r="AX448">
        <v>1</v>
      </c>
      <c r="AY448">
        <v>0</v>
      </c>
      <c r="AZ448">
        <v>1</v>
      </c>
    </row>
    <row r="449" spans="1:52" x14ac:dyDescent="0.35">
      <c r="A449">
        <v>2025221611403</v>
      </c>
      <c r="B449">
        <v>2025</v>
      </c>
      <c r="C449">
        <v>221611403</v>
      </c>
      <c r="D449">
        <v>397130</v>
      </c>
      <c r="E449">
        <v>273654</v>
      </c>
      <c r="F449">
        <v>-2.0435699999999999</v>
      </c>
      <c r="G449">
        <v>52.360930000000003</v>
      </c>
      <c r="H449">
        <v>22</v>
      </c>
      <c r="I449">
        <v>3</v>
      </c>
      <c r="J449" t="str">
        <f>VLOOKUP(I449, Lookups!$B$1:$C$4, 2, FALSE)</f>
        <v>Slight</v>
      </c>
      <c r="K449">
        <v>1</v>
      </c>
      <c r="L449">
        <v>1</v>
      </c>
      <c r="M449" s="1">
        <v>45838</v>
      </c>
      <c r="N449">
        <v>2</v>
      </c>
      <c r="O449" t="str">
        <f>VLOOKUP(N449, Lookups!$B$6:$C$12, 2, FALSE)</f>
        <v>Monday</v>
      </c>
      <c r="P449" s="2">
        <v>0.3888888888888889</v>
      </c>
      <c r="Q449">
        <v>-1</v>
      </c>
      <c r="R449" t="s">
        <v>47</v>
      </c>
      <c r="S449" t="s">
        <v>45</v>
      </c>
      <c r="T449" t="s">
        <v>45</v>
      </c>
      <c r="U449">
        <v>4</v>
      </c>
      <c r="V449" t="str">
        <f>VLOOKUP(U449, Lookups!$B$51:$C$57, 2, FALSE)</f>
        <v>B</v>
      </c>
      <c r="W449">
        <v>4096</v>
      </c>
      <c r="X449" t="str">
        <f t="shared" si="59"/>
        <v>B4096</v>
      </c>
      <c r="Y449">
        <v>6</v>
      </c>
      <c r="Z449" t="str">
        <f>VLOOKUP(Y449, Lookups!$B$14:$C$21, 2, FALSE)</f>
        <v>Single carriageway</v>
      </c>
      <c r="AA449">
        <v>30</v>
      </c>
      <c r="AB449">
        <v>-1</v>
      </c>
      <c r="AC449">
        <v>0</v>
      </c>
      <c r="AD449">
        <v>-1</v>
      </c>
      <c r="AE449">
        <v>6</v>
      </c>
      <c r="AF449">
        <v>0</v>
      </c>
      <c r="AG449">
        <v>-1</v>
      </c>
      <c r="AH449">
        <v>-1</v>
      </c>
      <c r="AI449">
        <v>0</v>
      </c>
      <c r="AJ449">
        <v>1</v>
      </c>
      <c r="AK449" t="str">
        <f>VLOOKUP(AJ449, Lookups!$B$23:$C$28, 2, FALSE)</f>
        <v>Daylight</v>
      </c>
      <c r="AL449">
        <v>1</v>
      </c>
      <c r="AM449" t="str">
        <f>VLOOKUP(AL449, Lookups!$B$30:$C$39, 2, FALSE)</f>
        <v>Fine / Clear</v>
      </c>
      <c r="AN449">
        <v>1</v>
      </c>
      <c r="AO449" t="str">
        <f>VLOOKUP(AN449, Lookups!$B$41:$C$49, 2, FALSE)</f>
        <v>Dry</v>
      </c>
      <c r="AP449">
        <v>-1</v>
      </c>
      <c r="AQ449">
        <v>-1</v>
      </c>
      <c r="AR449">
        <v>0</v>
      </c>
      <c r="AS449">
        <v>1</v>
      </c>
      <c r="AT449">
        <v>1</v>
      </c>
      <c r="AU449">
        <v>2</v>
      </c>
      <c r="AV449" t="s">
        <v>232</v>
      </c>
      <c r="AW449">
        <v>3</v>
      </c>
      <c r="AX449">
        <v>1</v>
      </c>
      <c r="AY449">
        <v>0</v>
      </c>
      <c r="AZ449">
        <v>1</v>
      </c>
    </row>
    <row r="450" spans="1:52" x14ac:dyDescent="0.35">
      <c r="A450">
        <v>2025221623444</v>
      </c>
      <c r="B450">
        <v>2025</v>
      </c>
      <c r="C450">
        <v>221623444</v>
      </c>
      <c r="D450">
        <v>384685</v>
      </c>
      <c r="E450">
        <v>278710</v>
      </c>
      <c r="F450">
        <v>-2.22655</v>
      </c>
      <c r="G450">
        <v>52.406179999999999</v>
      </c>
      <c r="H450">
        <v>22</v>
      </c>
      <c r="I450">
        <v>3</v>
      </c>
      <c r="J450" t="str">
        <f>VLOOKUP(I450, Lookups!$B$1:$C$4, 2, FALSE)</f>
        <v>Slight</v>
      </c>
      <c r="K450">
        <v>2</v>
      </c>
      <c r="L450">
        <v>1</v>
      </c>
      <c r="M450" s="1">
        <v>45866</v>
      </c>
      <c r="N450">
        <v>2</v>
      </c>
      <c r="O450" t="str">
        <f>VLOOKUP(N450, Lookups!$B$6:$C$12, 2, FALSE)</f>
        <v>Monday</v>
      </c>
      <c r="P450" s="2">
        <v>0.26597222222222222</v>
      </c>
      <c r="Q450">
        <v>-1</v>
      </c>
      <c r="R450" t="s">
        <v>44</v>
      </c>
      <c r="S450" t="s">
        <v>45</v>
      </c>
      <c r="T450" t="s">
        <v>45</v>
      </c>
      <c r="U450">
        <v>3</v>
      </c>
      <c r="V450" t="str">
        <f>VLOOKUP(U450, Lookups!$B$51:$C$57, 2, FALSE)</f>
        <v>A</v>
      </c>
      <c r="W450">
        <v>449</v>
      </c>
      <c r="X450" t="str">
        <f t="shared" si="59"/>
        <v>A449</v>
      </c>
      <c r="Y450">
        <v>3</v>
      </c>
      <c r="Z450" t="str">
        <f>VLOOKUP(Y450, Lookups!$B$14:$C$21, 2, FALSE)</f>
        <v>Dual carriageway</v>
      </c>
      <c r="AA450">
        <v>40</v>
      </c>
      <c r="AB450">
        <v>-1</v>
      </c>
      <c r="AC450">
        <v>16</v>
      </c>
      <c r="AD450">
        <v>2</v>
      </c>
      <c r="AE450">
        <v>4</v>
      </c>
      <c r="AF450">
        <v>4189</v>
      </c>
      <c r="AG450">
        <v>-1</v>
      </c>
      <c r="AH450">
        <v>-1</v>
      </c>
      <c r="AI450">
        <v>15</v>
      </c>
      <c r="AJ450">
        <v>1</v>
      </c>
      <c r="AK450" t="str">
        <f>VLOOKUP(AJ450, Lookups!$B$23:$C$28, 2, FALSE)</f>
        <v>Daylight</v>
      </c>
      <c r="AL450">
        <v>1</v>
      </c>
      <c r="AM450" t="str">
        <f>VLOOKUP(AL450, Lookups!$B$30:$C$39, 2, FALSE)</f>
        <v>Fine / Clear</v>
      </c>
      <c r="AN450">
        <v>1</v>
      </c>
      <c r="AO450" t="str">
        <f>VLOOKUP(AN450, Lookups!$B$41:$C$49, 2, FALSE)</f>
        <v>Dry</v>
      </c>
      <c r="AP450">
        <v>-1</v>
      </c>
      <c r="AQ450">
        <v>-1</v>
      </c>
      <c r="AR450">
        <v>0</v>
      </c>
      <c r="AS450">
        <v>2</v>
      </c>
      <c r="AT450">
        <v>1</v>
      </c>
      <c r="AU450">
        <v>2</v>
      </c>
      <c r="AV450" t="s">
        <v>46</v>
      </c>
      <c r="AW450">
        <v>3</v>
      </c>
      <c r="AX450">
        <v>1</v>
      </c>
      <c r="AY450">
        <v>0</v>
      </c>
      <c r="AZ450">
        <v>1</v>
      </c>
    </row>
    <row r="451" spans="1:52" x14ac:dyDescent="0.35">
      <c r="A451">
        <v>2025221628505</v>
      </c>
      <c r="B451">
        <v>2025</v>
      </c>
      <c r="C451">
        <v>221628505</v>
      </c>
      <c r="D451">
        <v>404342</v>
      </c>
      <c r="E451">
        <v>274640</v>
      </c>
      <c r="F451">
        <v>-1.9376500000000001</v>
      </c>
      <c r="G451">
        <v>52.369790000000002</v>
      </c>
      <c r="H451">
        <v>22</v>
      </c>
      <c r="I451">
        <v>2</v>
      </c>
      <c r="J451" t="str">
        <f>VLOOKUP(I451, Lookups!$B$1:$C$4, 2, FALSE)</f>
        <v>Serious</v>
      </c>
      <c r="K451">
        <v>2</v>
      </c>
      <c r="L451">
        <v>1</v>
      </c>
      <c r="M451" s="1">
        <v>45882</v>
      </c>
      <c r="N451">
        <v>4</v>
      </c>
      <c r="O451" t="str">
        <f>VLOOKUP(N451, Lookups!$B$6:$C$12, 2, FALSE)</f>
        <v>Wednesday</v>
      </c>
      <c r="P451" s="2">
        <v>0.76597222222222228</v>
      </c>
      <c r="Q451">
        <v>-1</v>
      </c>
      <c r="R451" t="s">
        <v>47</v>
      </c>
      <c r="S451" t="s">
        <v>45</v>
      </c>
      <c r="T451" t="s">
        <v>45</v>
      </c>
      <c r="U451">
        <v>6</v>
      </c>
      <c r="V451" t="str">
        <f>VLOOKUP(U451, Lookups!$B$51:$C$57, 2, FALSE)</f>
        <v>Unclassified</v>
      </c>
      <c r="W451">
        <v>0</v>
      </c>
      <c r="X451" t="s">
        <v>362</v>
      </c>
      <c r="Y451">
        <v>6</v>
      </c>
      <c r="Z451" t="str">
        <f>VLOOKUP(Y451, Lookups!$B$14:$C$21, 2, FALSE)</f>
        <v>Single carriageway</v>
      </c>
      <c r="AA451">
        <v>60</v>
      </c>
      <c r="AB451">
        <v>-1</v>
      </c>
      <c r="AC451">
        <v>0</v>
      </c>
      <c r="AD451">
        <v>-1</v>
      </c>
      <c r="AE451">
        <v>0</v>
      </c>
      <c r="AF451">
        <v>-1</v>
      </c>
      <c r="AG451">
        <v>-1</v>
      </c>
      <c r="AH451">
        <v>-1</v>
      </c>
      <c r="AI451">
        <v>0</v>
      </c>
      <c r="AJ451">
        <v>1</v>
      </c>
      <c r="AK451" t="str">
        <f>VLOOKUP(AJ451, Lookups!$B$23:$C$28, 2, FALSE)</f>
        <v>Daylight</v>
      </c>
      <c r="AL451">
        <v>1</v>
      </c>
      <c r="AM451" t="str">
        <f>VLOOKUP(AL451, Lookups!$B$30:$C$39, 2, FALSE)</f>
        <v>Fine / Clear</v>
      </c>
      <c r="AN451">
        <v>1</v>
      </c>
      <c r="AO451" t="str">
        <f>VLOOKUP(AN451, Lookups!$B$41:$C$49, 2, FALSE)</f>
        <v>Dry</v>
      </c>
      <c r="AP451">
        <v>-1</v>
      </c>
      <c r="AQ451">
        <v>-1</v>
      </c>
      <c r="AR451">
        <v>0</v>
      </c>
      <c r="AS451">
        <v>2</v>
      </c>
      <c r="AT451">
        <v>1</v>
      </c>
      <c r="AU451">
        <v>2</v>
      </c>
      <c r="AV451" t="s">
        <v>77</v>
      </c>
      <c r="AW451">
        <v>7</v>
      </c>
      <c r="AX451">
        <v>1</v>
      </c>
      <c r="AY451">
        <v>1</v>
      </c>
      <c r="AZ451">
        <v>0</v>
      </c>
    </row>
    <row r="452" spans="1:52" x14ac:dyDescent="0.35">
      <c r="A452">
        <v>2025221687647</v>
      </c>
      <c r="B452">
        <v>2025</v>
      </c>
      <c r="C452">
        <v>221687647</v>
      </c>
      <c r="D452">
        <v>371119</v>
      </c>
      <c r="E452">
        <v>267625</v>
      </c>
      <c r="F452">
        <v>-2.4249999999999998</v>
      </c>
      <c r="G452">
        <v>52.305979999999998</v>
      </c>
      <c r="H452">
        <v>22</v>
      </c>
      <c r="I452">
        <v>3</v>
      </c>
      <c r="J452" t="str">
        <f>VLOOKUP(I452, Lookups!$B$1:$C$4, 2, FALSE)</f>
        <v>Slight</v>
      </c>
      <c r="K452">
        <v>1</v>
      </c>
      <c r="L452">
        <v>1</v>
      </c>
      <c r="M452" s="1">
        <v>46015</v>
      </c>
      <c r="N452">
        <v>4</v>
      </c>
      <c r="O452" t="str">
        <f>VLOOKUP(N452, Lookups!$B$6:$C$12, 2, FALSE)</f>
        <v>Wednesday</v>
      </c>
      <c r="P452" s="2">
        <v>0.4236111111111111</v>
      </c>
      <c r="Q452">
        <v>-1</v>
      </c>
      <c r="R452" t="s">
        <v>49</v>
      </c>
      <c r="S452" t="s">
        <v>45</v>
      </c>
      <c r="T452" t="s">
        <v>45</v>
      </c>
      <c r="U452">
        <v>3</v>
      </c>
      <c r="V452" t="str">
        <f>VLOOKUP(U452, Lookups!$B$51:$C$57, 2, FALSE)</f>
        <v>A</v>
      </c>
      <c r="W452">
        <v>443</v>
      </c>
      <c r="X452" t="str">
        <f t="shared" ref="X452:X453" si="60">V452&amp;W452</f>
        <v>A443</v>
      </c>
      <c r="Y452">
        <v>6</v>
      </c>
      <c r="Z452" t="str">
        <f>VLOOKUP(Y452, Lookups!$B$14:$C$21, 2, FALSE)</f>
        <v>Single carriageway</v>
      </c>
      <c r="AA452">
        <v>60</v>
      </c>
      <c r="AB452">
        <v>-1</v>
      </c>
      <c r="AC452">
        <v>0</v>
      </c>
      <c r="AD452">
        <v>-1</v>
      </c>
      <c r="AE452">
        <v>6</v>
      </c>
      <c r="AF452">
        <v>0</v>
      </c>
      <c r="AG452">
        <v>-1</v>
      </c>
      <c r="AH452">
        <v>-1</v>
      </c>
      <c r="AI452">
        <v>0</v>
      </c>
      <c r="AJ452">
        <v>6</v>
      </c>
      <c r="AK452" t="str">
        <f>VLOOKUP(AJ452, Lookups!$B$23:$C$28, 2, FALSE)</f>
        <v>Darkness (Unlit)</v>
      </c>
      <c r="AL452">
        <v>1</v>
      </c>
      <c r="AM452" t="str">
        <f>VLOOKUP(AL452, Lookups!$B$30:$C$39, 2, FALSE)</f>
        <v>Fine / Clear</v>
      </c>
      <c r="AN452">
        <v>1</v>
      </c>
      <c r="AO452" t="str">
        <f>VLOOKUP(AN452, Lookups!$B$41:$C$49, 2, FALSE)</f>
        <v>Dry</v>
      </c>
      <c r="AP452">
        <v>-1</v>
      </c>
      <c r="AQ452">
        <v>-1</v>
      </c>
      <c r="AR452">
        <v>0</v>
      </c>
      <c r="AS452">
        <v>2</v>
      </c>
      <c r="AT452">
        <v>1</v>
      </c>
      <c r="AU452">
        <v>2</v>
      </c>
      <c r="AV452" t="s">
        <v>123</v>
      </c>
      <c r="AW452">
        <v>3</v>
      </c>
      <c r="AX452">
        <v>1</v>
      </c>
      <c r="AY452">
        <v>0</v>
      </c>
      <c r="AZ452">
        <v>1</v>
      </c>
    </row>
    <row r="453" spans="1:52" x14ac:dyDescent="0.35">
      <c r="A453">
        <v>2025221662296</v>
      </c>
      <c r="B453">
        <v>2025</v>
      </c>
      <c r="C453">
        <v>221662296</v>
      </c>
      <c r="D453">
        <v>405477</v>
      </c>
      <c r="E453">
        <v>257060</v>
      </c>
      <c r="F453">
        <v>-1.92126</v>
      </c>
      <c r="G453">
        <v>52.211730000000003</v>
      </c>
      <c r="H453">
        <v>22</v>
      </c>
      <c r="I453">
        <v>3</v>
      </c>
      <c r="J453" t="str">
        <f>VLOOKUP(I453, Lookups!$B$1:$C$4, 2, FALSE)</f>
        <v>Slight</v>
      </c>
      <c r="K453">
        <v>3</v>
      </c>
      <c r="L453">
        <v>3</v>
      </c>
      <c r="M453" s="1">
        <v>45962</v>
      </c>
      <c r="N453">
        <v>7</v>
      </c>
      <c r="O453" t="str">
        <f>VLOOKUP(N453, Lookups!$B$6:$C$12, 2, FALSE)</f>
        <v>Saturday</v>
      </c>
      <c r="P453" s="2">
        <v>0.61805555555555558</v>
      </c>
      <c r="Q453">
        <v>-1</v>
      </c>
      <c r="R453" t="s">
        <v>54</v>
      </c>
      <c r="S453" t="s">
        <v>45</v>
      </c>
      <c r="T453" t="s">
        <v>45</v>
      </c>
      <c r="U453">
        <v>4</v>
      </c>
      <c r="V453" t="str">
        <f>VLOOKUP(U453, Lookups!$B$51:$C$57, 2, FALSE)</f>
        <v>B</v>
      </c>
      <c r="W453">
        <v>4088</v>
      </c>
      <c r="X453" t="str">
        <f t="shared" si="60"/>
        <v>B4088</v>
      </c>
      <c r="Y453">
        <v>6</v>
      </c>
      <c r="Z453" t="str">
        <f>VLOOKUP(Y453, Lookups!$B$14:$C$21, 2, FALSE)</f>
        <v>Single carriageway</v>
      </c>
      <c r="AA453">
        <v>50</v>
      </c>
      <c r="AB453">
        <v>-1</v>
      </c>
      <c r="AC453">
        <v>13</v>
      </c>
      <c r="AD453">
        <v>4</v>
      </c>
      <c r="AE453">
        <v>3</v>
      </c>
      <c r="AF453">
        <v>422</v>
      </c>
      <c r="AG453">
        <v>-1</v>
      </c>
      <c r="AH453">
        <v>-1</v>
      </c>
      <c r="AI453">
        <v>0</v>
      </c>
      <c r="AJ453">
        <v>1</v>
      </c>
      <c r="AK453" t="str">
        <f>VLOOKUP(AJ453, Lookups!$B$23:$C$28, 2, FALSE)</f>
        <v>Daylight</v>
      </c>
      <c r="AL453">
        <v>1</v>
      </c>
      <c r="AM453" t="str">
        <f>VLOOKUP(AL453, Lookups!$B$30:$C$39, 2, FALSE)</f>
        <v>Fine / Clear</v>
      </c>
      <c r="AN453">
        <v>1</v>
      </c>
      <c r="AO453" t="str">
        <f>VLOOKUP(AN453, Lookups!$B$41:$C$49, 2, FALSE)</f>
        <v>Dry</v>
      </c>
      <c r="AP453">
        <v>-1</v>
      </c>
      <c r="AQ453">
        <v>-1</v>
      </c>
      <c r="AR453">
        <v>0</v>
      </c>
      <c r="AS453">
        <v>2</v>
      </c>
      <c r="AT453">
        <v>2</v>
      </c>
      <c r="AU453">
        <v>2</v>
      </c>
      <c r="AV453" t="s">
        <v>141</v>
      </c>
      <c r="AW453">
        <v>3</v>
      </c>
      <c r="AX453">
        <v>1</v>
      </c>
      <c r="AY453">
        <v>0</v>
      </c>
      <c r="AZ453">
        <v>1</v>
      </c>
    </row>
    <row r="454" spans="1:52" x14ac:dyDescent="0.35">
      <c r="A454">
        <v>2025221664475</v>
      </c>
      <c r="B454">
        <v>2025</v>
      </c>
      <c r="C454">
        <v>221664475</v>
      </c>
      <c r="D454">
        <v>379757</v>
      </c>
      <c r="E454">
        <v>248559</v>
      </c>
      <c r="F454">
        <v>-2.2971699999999999</v>
      </c>
      <c r="G454">
        <v>52.13496</v>
      </c>
      <c r="H454">
        <v>22</v>
      </c>
      <c r="I454">
        <v>3</v>
      </c>
      <c r="J454" t="str">
        <f>VLOOKUP(I454, Lookups!$B$1:$C$4, 2, FALSE)</f>
        <v>Slight</v>
      </c>
      <c r="K454">
        <v>2</v>
      </c>
      <c r="L454">
        <v>2</v>
      </c>
      <c r="M454" s="1">
        <v>45967</v>
      </c>
      <c r="N454">
        <v>5</v>
      </c>
      <c r="O454" t="str">
        <f>VLOOKUP(N454, Lookups!$B$6:$C$12, 2, FALSE)</f>
        <v>Thursday</v>
      </c>
      <c r="P454" s="2">
        <v>0.39444444444444443</v>
      </c>
      <c r="Q454">
        <v>-1</v>
      </c>
      <c r="R454" t="s">
        <v>49</v>
      </c>
      <c r="S454" t="s">
        <v>45</v>
      </c>
      <c r="T454" t="s">
        <v>45</v>
      </c>
      <c r="U454">
        <v>6</v>
      </c>
      <c r="V454" t="str">
        <f>VLOOKUP(U454, Lookups!$B$51:$C$57, 2, FALSE)</f>
        <v>Unclassified</v>
      </c>
      <c r="W454">
        <v>0</v>
      </c>
      <c r="X454" t="s">
        <v>362</v>
      </c>
      <c r="Y454">
        <v>6</v>
      </c>
      <c r="Z454" t="str">
        <f>VLOOKUP(Y454, Lookups!$B$14:$C$21, 2, FALSE)</f>
        <v>Single carriageway</v>
      </c>
      <c r="AA454">
        <v>60</v>
      </c>
      <c r="AB454">
        <v>-1</v>
      </c>
      <c r="AC454">
        <v>13</v>
      </c>
      <c r="AD454">
        <v>4</v>
      </c>
      <c r="AE454">
        <v>6</v>
      </c>
      <c r="AF454">
        <v>0</v>
      </c>
      <c r="AG454">
        <v>-1</v>
      </c>
      <c r="AH454">
        <v>-1</v>
      </c>
      <c r="AI454">
        <v>0</v>
      </c>
      <c r="AJ454">
        <v>1</v>
      </c>
      <c r="AK454" t="str">
        <f>VLOOKUP(AJ454, Lookups!$B$23:$C$28, 2, FALSE)</f>
        <v>Daylight</v>
      </c>
      <c r="AL454">
        <v>1</v>
      </c>
      <c r="AM454" t="str">
        <f>VLOOKUP(AL454, Lookups!$B$30:$C$39, 2, FALSE)</f>
        <v>Fine / Clear</v>
      </c>
      <c r="AN454">
        <v>2</v>
      </c>
      <c r="AO454" t="str">
        <f>VLOOKUP(AN454, Lookups!$B$41:$C$49, 2, FALSE)</f>
        <v>Wet / damp</v>
      </c>
      <c r="AP454">
        <v>-1</v>
      </c>
      <c r="AQ454">
        <v>-1</v>
      </c>
      <c r="AR454">
        <v>0</v>
      </c>
      <c r="AS454">
        <v>1</v>
      </c>
      <c r="AT454">
        <v>1</v>
      </c>
      <c r="AU454">
        <v>2</v>
      </c>
      <c r="AV454" t="s">
        <v>211</v>
      </c>
      <c r="AW454">
        <v>3</v>
      </c>
      <c r="AX454">
        <v>1</v>
      </c>
      <c r="AY454">
        <v>0</v>
      </c>
      <c r="AZ454">
        <v>1</v>
      </c>
    </row>
    <row r="455" spans="1:52" x14ac:dyDescent="0.35">
      <c r="A455">
        <v>2025221628573</v>
      </c>
      <c r="B455">
        <v>2025</v>
      </c>
      <c r="C455">
        <v>221628573</v>
      </c>
      <c r="D455">
        <v>378828</v>
      </c>
      <c r="E455">
        <v>231059</v>
      </c>
      <c r="F455">
        <v>-2.30965</v>
      </c>
      <c r="G455">
        <v>51.977589999999999</v>
      </c>
      <c r="H455">
        <v>22</v>
      </c>
      <c r="I455">
        <v>3</v>
      </c>
      <c r="J455" t="str">
        <f>VLOOKUP(I455, Lookups!$B$1:$C$4, 2, FALSE)</f>
        <v>Slight</v>
      </c>
      <c r="K455">
        <v>2</v>
      </c>
      <c r="L455">
        <v>1</v>
      </c>
      <c r="M455" s="1">
        <v>45881</v>
      </c>
      <c r="N455">
        <v>3</v>
      </c>
      <c r="O455" t="str">
        <f>VLOOKUP(N455, Lookups!$B$6:$C$12, 2, FALSE)</f>
        <v>Tuesday</v>
      </c>
      <c r="P455" s="2">
        <v>0.71805555555555556</v>
      </c>
      <c r="Q455">
        <v>-1</v>
      </c>
      <c r="R455" t="s">
        <v>49</v>
      </c>
      <c r="S455" t="s">
        <v>45</v>
      </c>
      <c r="T455" t="s">
        <v>45</v>
      </c>
      <c r="U455">
        <v>4</v>
      </c>
      <c r="V455" t="str">
        <f>VLOOKUP(U455, Lookups!$B$51:$C$57, 2, FALSE)</f>
        <v>B</v>
      </c>
      <c r="W455">
        <v>4208</v>
      </c>
      <c r="X455" t="str">
        <f t="shared" ref="X455:X459" si="61">V455&amp;W455</f>
        <v>B4208</v>
      </c>
      <c r="Y455">
        <v>6</v>
      </c>
      <c r="Z455" t="str">
        <f>VLOOKUP(Y455, Lookups!$B$14:$C$21, 2, FALSE)</f>
        <v>Single carriageway</v>
      </c>
      <c r="AA455">
        <v>60</v>
      </c>
      <c r="AB455">
        <v>-1</v>
      </c>
      <c r="AC455">
        <v>0</v>
      </c>
      <c r="AD455">
        <v>-1</v>
      </c>
      <c r="AE455">
        <v>0</v>
      </c>
      <c r="AF455">
        <v>-1</v>
      </c>
      <c r="AG455">
        <v>-1</v>
      </c>
      <c r="AH455">
        <v>-1</v>
      </c>
      <c r="AI455">
        <v>0</v>
      </c>
      <c r="AJ455">
        <v>1</v>
      </c>
      <c r="AK455" t="str">
        <f>VLOOKUP(AJ455, Lookups!$B$23:$C$28, 2, FALSE)</f>
        <v>Daylight</v>
      </c>
      <c r="AL455">
        <v>1</v>
      </c>
      <c r="AM455" t="str">
        <f>VLOOKUP(AL455, Lookups!$B$30:$C$39, 2, FALSE)</f>
        <v>Fine / Clear</v>
      </c>
      <c r="AN455">
        <v>1</v>
      </c>
      <c r="AO455" t="str">
        <f>VLOOKUP(AN455, Lookups!$B$41:$C$49, 2, FALSE)</f>
        <v>Dry</v>
      </c>
      <c r="AP455">
        <v>-1</v>
      </c>
      <c r="AQ455">
        <v>-1</v>
      </c>
      <c r="AR455">
        <v>0</v>
      </c>
      <c r="AS455">
        <v>2</v>
      </c>
      <c r="AT455">
        <v>1</v>
      </c>
      <c r="AU455">
        <v>2</v>
      </c>
      <c r="AV455" t="s">
        <v>82</v>
      </c>
      <c r="AW455">
        <v>3</v>
      </c>
      <c r="AX455">
        <v>1</v>
      </c>
      <c r="AY455">
        <v>0</v>
      </c>
      <c r="AZ455">
        <v>1</v>
      </c>
    </row>
    <row r="456" spans="1:52" x14ac:dyDescent="0.35">
      <c r="A456">
        <v>2025221640950</v>
      </c>
      <c r="B456">
        <v>2025</v>
      </c>
      <c r="C456">
        <v>221640950</v>
      </c>
      <c r="D456">
        <v>384591</v>
      </c>
      <c r="E456">
        <v>257805</v>
      </c>
      <c r="F456">
        <v>-2.2269700000000001</v>
      </c>
      <c r="G456">
        <v>52.218240000000002</v>
      </c>
      <c r="H456">
        <v>22</v>
      </c>
      <c r="I456">
        <v>2</v>
      </c>
      <c r="J456" t="str">
        <f>VLOOKUP(I456, Lookups!$B$1:$C$4, 2, FALSE)</f>
        <v>Serious</v>
      </c>
      <c r="K456">
        <v>2</v>
      </c>
      <c r="L456">
        <v>2</v>
      </c>
      <c r="M456" s="1">
        <v>45912</v>
      </c>
      <c r="N456">
        <v>6</v>
      </c>
      <c r="O456" t="str">
        <f>VLOOKUP(N456, Lookups!$B$6:$C$12, 2, FALSE)</f>
        <v>Friday</v>
      </c>
      <c r="P456" s="2">
        <v>0.78472222222222221</v>
      </c>
      <c r="Q456">
        <v>-1</v>
      </c>
      <c r="R456" t="s">
        <v>60</v>
      </c>
      <c r="S456" t="s">
        <v>45</v>
      </c>
      <c r="T456" t="s">
        <v>45</v>
      </c>
      <c r="U456">
        <v>3</v>
      </c>
      <c r="V456" t="str">
        <f>VLOOKUP(U456, Lookups!$B$51:$C$57, 2, FALSE)</f>
        <v>A</v>
      </c>
      <c r="W456">
        <v>449</v>
      </c>
      <c r="X456" t="str">
        <f t="shared" si="61"/>
        <v>A449</v>
      </c>
      <c r="Y456">
        <v>6</v>
      </c>
      <c r="Z456" t="str">
        <f>VLOOKUP(Y456, Lookups!$B$14:$C$21, 2, FALSE)</f>
        <v>Single carriageway</v>
      </c>
      <c r="AA456">
        <v>30</v>
      </c>
      <c r="AB456">
        <v>-1</v>
      </c>
      <c r="AC456">
        <v>0</v>
      </c>
      <c r="AD456">
        <v>-1</v>
      </c>
      <c r="AE456">
        <v>6</v>
      </c>
      <c r="AF456">
        <v>0</v>
      </c>
      <c r="AG456">
        <v>-1</v>
      </c>
      <c r="AH456">
        <v>-1</v>
      </c>
      <c r="AI456">
        <v>0</v>
      </c>
      <c r="AJ456">
        <v>1</v>
      </c>
      <c r="AK456" t="str">
        <f>VLOOKUP(AJ456, Lookups!$B$23:$C$28, 2, FALSE)</f>
        <v>Daylight</v>
      </c>
      <c r="AL456">
        <v>2</v>
      </c>
      <c r="AM456" t="str">
        <f>VLOOKUP(AL456, Lookups!$B$30:$C$39, 2, FALSE)</f>
        <v>Rain</v>
      </c>
      <c r="AN456">
        <v>2</v>
      </c>
      <c r="AO456" t="str">
        <f>VLOOKUP(AN456, Lookups!$B$41:$C$49, 2, FALSE)</f>
        <v>Wet / damp</v>
      </c>
      <c r="AP456">
        <v>-1</v>
      </c>
      <c r="AQ456">
        <v>-1</v>
      </c>
      <c r="AR456">
        <v>0</v>
      </c>
      <c r="AS456">
        <v>1</v>
      </c>
      <c r="AT456">
        <v>1</v>
      </c>
      <c r="AU456">
        <v>2</v>
      </c>
      <c r="AV456" t="s">
        <v>270</v>
      </c>
      <c r="AW456">
        <v>5</v>
      </c>
      <c r="AX456">
        <v>1</v>
      </c>
      <c r="AY456">
        <v>1</v>
      </c>
      <c r="AZ456">
        <v>0</v>
      </c>
    </row>
    <row r="457" spans="1:52" x14ac:dyDescent="0.35">
      <c r="A457">
        <v>2025221669440</v>
      </c>
      <c r="B457">
        <v>2025</v>
      </c>
      <c r="C457">
        <v>221669440</v>
      </c>
      <c r="D457">
        <v>380324</v>
      </c>
      <c r="E457">
        <v>268899</v>
      </c>
      <c r="F457">
        <v>-2.2900700000000001</v>
      </c>
      <c r="G457">
        <v>52.317839999999997</v>
      </c>
      <c r="H457">
        <v>22</v>
      </c>
      <c r="I457">
        <v>2</v>
      </c>
      <c r="J457" t="str">
        <f>VLOOKUP(I457, Lookups!$B$1:$C$4, 2, FALSE)</f>
        <v>Serious</v>
      </c>
      <c r="K457">
        <v>1</v>
      </c>
      <c r="L457">
        <v>1</v>
      </c>
      <c r="M457" s="1">
        <v>45976</v>
      </c>
      <c r="N457">
        <v>7</v>
      </c>
      <c r="O457" t="str">
        <f>VLOOKUP(N457, Lookups!$B$6:$C$12, 2, FALSE)</f>
        <v>Saturday</v>
      </c>
      <c r="P457" s="2">
        <v>0.97222222222222221</v>
      </c>
      <c r="Q457">
        <v>-1</v>
      </c>
      <c r="R457" t="s">
        <v>49</v>
      </c>
      <c r="S457" t="s">
        <v>45</v>
      </c>
      <c r="T457" t="s">
        <v>45</v>
      </c>
      <c r="U457">
        <v>4</v>
      </c>
      <c r="V457" t="str">
        <f>VLOOKUP(U457, Lookups!$B$51:$C$57, 2, FALSE)</f>
        <v>B</v>
      </c>
      <c r="W457">
        <v>4196</v>
      </c>
      <c r="X457" t="str">
        <f t="shared" si="61"/>
        <v>B4196</v>
      </c>
      <c r="Y457">
        <v>6</v>
      </c>
      <c r="Z457" t="str">
        <f>VLOOKUP(Y457, Lookups!$B$14:$C$21, 2, FALSE)</f>
        <v>Single carriageway</v>
      </c>
      <c r="AA457">
        <v>30</v>
      </c>
      <c r="AB457">
        <v>-1</v>
      </c>
      <c r="AC457">
        <v>0</v>
      </c>
      <c r="AD457">
        <v>-1</v>
      </c>
      <c r="AE457">
        <v>6</v>
      </c>
      <c r="AF457">
        <v>0</v>
      </c>
      <c r="AG457">
        <v>-1</v>
      </c>
      <c r="AH457">
        <v>-1</v>
      </c>
      <c r="AI457">
        <v>0</v>
      </c>
      <c r="AJ457">
        <v>6</v>
      </c>
      <c r="AK457" t="str">
        <f>VLOOKUP(AJ457, Lookups!$B$23:$C$28, 2, FALSE)</f>
        <v>Darkness (Unlit)</v>
      </c>
      <c r="AL457">
        <v>2</v>
      </c>
      <c r="AM457" t="str">
        <f>VLOOKUP(AL457, Lookups!$B$30:$C$39, 2, FALSE)</f>
        <v>Rain</v>
      </c>
      <c r="AN457">
        <v>2</v>
      </c>
      <c r="AO457" t="str">
        <f>VLOOKUP(AN457, Lookups!$B$41:$C$49, 2, FALSE)</f>
        <v>Wet / damp</v>
      </c>
      <c r="AP457">
        <v>-1</v>
      </c>
      <c r="AQ457">
        <v>-1</v>
      </c>
      <c r="AR457">
        <v>0</v>
      </c>
      <c r="AS457">
        <v>2</v>
      </c>
      <c r="AT457">
        <v>1</v>
      </c>
      <c r="AU457">
        <v>2</v>
      </c>
      <c r="AV457" t="s">
        <v>188</v>
      </c>
      <c r="AW457">
        <v>7</v>
      </c>
      <c r="AX457">
        <v>1</v>
      </c>
      <c r="AY457">
        <v>1</v>
      </c>
      <c r="AZ457">
        <v>0</v>
      </c>
    </row>
    <row r="458" spans="1:52" x14ac:dyDescent="0.35">
      <c r="A458">
        <v>2025221648049</v>
      </c>
      <c r="B458">
        <v>2025</v>
      </c>
      <c r="C458">
        <v>221648049</v>
      </c>
      <c r="D458">
        <v>362546</v>
      </c>
      <c r="E458">
        <v>267409</v>
      </c>
      <c r="F458">
        <v>-2.55071</v>
      </c>
      <c r="G458">
        <v>52.303510000000003</v>
      </c>
      <c r="H458">
        <v>22</v>
      </c>
      <c r="I458">
        <v>3</v>
      </c>
      <c r="J458" t="str">
        <f>VLOOKUP(I458, Lookups!$B$1:$C$4, 2, FALSE)</f>
        <v>Slight</v>
      </c>
      <c r="K458">
        <v>1</v>
      </c>
      <c r="L458">
        <v>1</v>
      </c>
      <c r="M458" s="1">
        <v>45923</v>
      </c>
      <c r="N458">
        <v>3</v>
      </c>
      <c r="O458" t="str">
        <f>VLOOKUP(N458, Lookups!$B$6:$C$12, 2, FALSE)</f>
        <v>Tuesday</v>
      </c>
      <c r="P458" s="2">
        <v>0.69652777777777775</v>
      </c>
      <c r="Q458">
        <v>-1</v>
      </c>
      <c r="R458" t="s">
        <v>49</v>
      </c>
      <c r="S458" t="s">
        <v>45</v>
      </c>
      <c r="T458" t="s">
        <v>45</v>
      </c>
      <c r="U458">
        <v>4</v>
      </c>
      <c r="V458" t="str">
        <f>VLOOKUP(U458, Lookups!$B$51:$C$57, 2, FALSE)</f>
        <v>B</v>
      </c>
      <c r="W458">
        <v>4204</v>
      </c>
      <c r="X458" t="str">
        <f t="shared" si="61"/>
        <v>B4204</v>
      </c>
      <c r="Y458">
        <v>6</v>
      </c>
      <c r="Z458" t="str">
        <f>VLOOKUP(Y458, Lookups!$B$14:$C$21, 2, FALSE)</f>
        <v>Single carriageway</v>
      </c>
      <c r="AA458">
        <v>30</v>
      </c>
      <c r="AB458">
        <v>-1</v>
      </c>
      <c r="AC458">
        <v>0</v>
      </c>
      <c r="AD458">
        <v>-1</v>
      </c>
      <c r="AE458">
        <v>6</v>
      </c>
      <c r="AF458">
        <v>0</v>
      </c>
      <c r="AG458">
        <v>-1</v>
      </c>
      <c r="AH458">
        <v>-1</v>
      </c>
      <c r="AI458">
        <v>0</v>
      </c>
      <c r="AJ458">
        <v>1</v>
      </c>
      <c r="AK458" t="str">
        <f>VLOOKUP(AJ458, Lookups!$B$23:$C$28, 2, FALSE)</f>
        <v>Daylight</v>
      </c>
      <c r="AL458">
        <v>1</v>
      </c>
      <c r="AM458" t="str">
        <f>VLOOKUP(AL458, Lookups!$B$30:$C$39, 2, FALSE)</f>
        <v>Fine / Clear</v>
      </c>
      <c r="AN458">
        <v>1</v>
      </c>
      <c r="AO458" t="str">
        <f>VLOOKUP(AN458, Lookups!$B$41:$C$49, 2, FALSE)</f>
        <v>Dry</v>
      </c>
      <c r="AP458">
        <v>-1</v>
      </c>
      <c r="AQ458">
        <v>-1</v>
      </c>
      <c r="AR458">
        <v>20</v>
      </c>
      <c r="AS458">
        <v>2</v>
      </c>
      <c r="AT458">
        <v>1</v>
      </c>
      <c r="AU458">
        <v>2</v>
      </c>
      <c r="AV458" t="s">
        <v>271</v>
      </c>
      <c r="AW458">
        <v>3</v>
      </c>
      <c r="AX458">
        <v>1</v>
      </c>
      <c r="AY458">
        <v>0</v>
      </c>
      <c r="AZ458">
        <v>1</v>
      </c>
    </row>
    <row r="459" spans="1:52" x14ac:dyDescent="0.35">
      <c r="A459">
        <v>2025221686906</v>
      </c>
      <c r="B459">
        <v>2025</v>
      </c>
      <c r="C459">
        <v>221686906</v>
      </c>
      <c r="D459">
        <v>386515</v>
      </c>
      <c r="E459">
        <v>246728</v>
      </c>
      <c r="F459">
        <v>-2.1983600000000001</v>
      </c>
      <c r="G459">
        <v>52.118699999999997</v>
      </c>
      <c r="H459">
        <v>22</v>
      </c>
      <c r="I459">
        <v>3</v>
      </c>
      <c r="J459" t="str">
        <f>VLOOKUP(I459, Lookups!$B$1:$C$4, 2, FALSE)</f>
        <v>Slight</v>
      </c>
      <c r="K459">
        <v>3</v>
      </c>
      <c r="L459">
        <v>3</v>
      </c>
      <c r="M459" s="1">
        <v>46013</v>
      </c>
      <c r="N459">
        <v>2</v>
      </c>
      <c r="O459" t="str">
        <f>VLOOKUP(N459, Lookups!$B$6:$C$12, 2, FALSE)</f>
        <v>Monday</v>
      </c>
      <c r="P459" s="2">
        <v>0.85763888888888884</v>
      </c>
      <c r="Q459">
        <v>-1</v>
      </c>
      <c r="R459" t="s">
        <v>49</v>
      </c>
      <c r="S459" t="s">
        <v>45</v>
      </c>
      <c r="T459" t="s">
        <v>45</v>
      </c>
      <c r="U459">
        <v>1</v>
      </c>
      <c r="V459" t="str">
        <f>VLOOKUP(U459, Lookups!$B$51:$C$57, 2, FALSE)</f>
        <v>M</v>
      </c>
      <c r="W459">
        <v>5</v>
      </c>
      <c r="X459" t="str">
        <f t="shared" si="61"/>
        <v>M5</v>
      </c>
      <c r="Y459">
        <v>3</v>
      </c>
      <c r="Z459" t="str">
        <f>VLOOKUP(Y459, Lookups!$B$14:$C$21, 2, FALSE)</f>
        <v>Dual carriageway</v>
      </c>
      <c r="AA459">
        <v>70</v>
      </c>
      <c r="AB459">
        <v>-1</v>
      </c>
      <c r="AC459">
        <v>0</v>
      </c>
      <c r="AD459">
        <v>-1</v>
      </c>
      <c r="AE459">
        <v>0</v>
      </c>
      <c r="AF459">
        <v>-1</v>
      </c>
      <c r="AG459">
        <v>-1</v>
      </c>
      <c r="AH459">
        <v>-1</v>
      </c>
      <c r="AI459">
        <v>0</v>
      </c>
      <c r="AJ459">
        <v>4</v>
      </c>
      <c r="AK459" t="str">
        <f>VLOOKUP(AJ459, Lookups!$B$23:$C$28, 2, FALSE)</f>
        <v>Darkness (Lit)</v>
      </c>
      <c r="AL459">
        <v>1</v>
      </c>
      <c r="AM459" t="str">
        <f>VLOOKUP(AL459, Lookups!$B$30:$C$39, 2, FALSE)</f>
        <v>Fine / Clear</v>
      </c>
      <c r="AN459">
        <v>2</v>
      </c>
      <c r="AO459" t="str">
        <f>VLOOKUP(AN459, Lookups!$B$41:$C$49, 2, FALSE)</f>
        <v>Wet / damp</v>
      </c>
      <c r="AP459">
        <v>-1</v>
      </c>
      <c r="AQ459">
        <v>-1</v>
      </c>
      <c r="AR459">
        <v>0</v>
      </c>
      <c r="AS459">
        <v>2</v>
      </c>
      <c r="AT459">
        <v>1</v>
      </c>
      <c r="AU459">
        <v>1</v>
      </c>
      <c r="AV459" t="s">
        <v>50</v>
      </c>
      <c r="AW459">
        <v>3</v>
      </c>
      <c r="AX459">
        <v>1</v>
      </c>
      <c r="AY459">
        <v>0</v>
      </c>
      <c r="AZ459">
        <v>1</v>
      </c>
    </row>
    <row r="460" spans="1:52" x14ac:dyDescent="0.35">
      <c r="A460">
        <v>2025221550698</v>
      </c>
      <c r="B460">
        <v>2025</v>
      </c>
      <c r="C460">
        <v>221550698</v>
      </c>
      <c r="D460">
        <v>405769</v>
      </c>
      <c r="E460">
        <v>264857</v>
      </c>
      <c r="F460">
        <v>-1.91686</v>
      </c>
      <c r="G460">
        <v>52.281829999999999</v>
      </c>
      <c r="H460">
        <v>22</v>
      </c>
      <c r="I460">
        <v>3</v>
      </c>
      <c r="J460" t="str">
        <f>VLOOKUP(I460, Lookups!$B$1:$C$4, 2, FALSE)</f>
        <v>Slight</v>
      </c>
      <c r="K460">
        <v>3</v>
      </c>
      <c r="L460">
        <v>4</v>
      </c>
      <c r="M460" s="1">
        <v>45679</v>
      </c>
      <c r="N460">
        <v>4</v>
      </c>
      <c r="O460" t="str">
        <f>VLOOKUP(N460, Lookups!$B$6:$C$12, 2, FALSE)</f>
        <v>Wednesday</v>
      </c>
      <c r="P460" s="2">
        <v>0.44583333333333336</v>
      </c>
      <c r="Q460">
        <v>-1</v>
      </c>
      <c r="R460" t="s">
        <v>69</v>
      </c>
      <c r="S460" t="s">
        <v>45</v>
      </c>
      <c r="T460" t="s">
        <v>45</v>
      </c>
      <c r="U460">
        <v>6</v>
      </c>
      <c r="V460" t="str">
        <f>VLOOKUP(U460, Lookups!$B$51:$C$57, 2, FALSE)</f>
        <v>Unclassified</v>
      </c>
      <c r="W460">
        <v>0</v>
      </c>
      <c r="X460" t="s">
        <v>362</v>
      </c>
      <c r="Y460">
        <v>6</v>
      </c>
      <c r="Z460" t="str">
        <f>VLOOKUP(Y460, Lookups!$B$14:$C$21, 2, FALSE)</f>
        <v>Single carriageway</v>
      </c>
      <c r="AA460">
        <v>40</v>
      </c>
      <c r="AB460">
        <v>-1</v>
      </c>
      <c r="AC460">
        <v>0</v>
      </c>
      <c r="AD460">
        <v>-1</v>
      </c>
      <c r="AE460">
        <v>6</v>
      </c>
      <c r="AF460">
        <v>0</v>
      </c>
      <c r="AG460">
        <v>-1</v>
      </c>
      <c r="AH460">
        <v>-1</v>
      </c>
      <c r="AI460">
        <v>0</v>
      </c>
      <c r="AJ460">
        <v>1</v>
      </c>
      <c r="AK460" t="str">
        <f>VLOOKUP(AJ460, Lookups!$B$23:$C$28, 2, FALSE)</f>
        <v>Daylight</v>
      </c>
      <c r="AL460">
        <v>1</v>
      </c>
      <c r="AM460" t="str">
        <f>VLOOKUP(AL460, Lookups!$B$30:$C$39, 2, FALSE)</f>
        <v>Fine / Clear</v>
      </c>
      <c r="AN460">
        <v>2</v>
      </c>
      <c r="AO460" t="str">
        <f>VLOOKUP(AN460, Lookups!$B$41:$C$49, 2, FALSE)</f>
        <v>Wet / damp</v>
      </c>
      <c r="AP460">
        <v>-1</v>
      </c>
      <c r="AQ460">
        <v>-1</v>
      </c>
      <c r="AR460">
        <v>0</v>
      </c>
      <c r="AS460">
        <v>1</v>
      </c>
      <c r="AT460">
        <v>1</v>
      </c>
      <c r="AU460">
        <v>2</v>
      </c>
      <c r="AV460" t="s">
        <v>70</v>
      </c>
      <c r="AW460">
        <v>3</v>
      </c>
      <c r="AX460">
        <v>1</v>
      </c>
      <c r="AY460">
        <v>0</v>
      </c>
      <c r="AZ460">
        <v>1</v>
      </c>
    </row>
    <row r="461" spans="1:52" x14ac:dyDescent="0.35">
      <c r="A461">
        <v>2025221589412</v>
      </c>
      <c r="B461">
        <v>2025</v>
      </c>
      <c r="C461">
        <v>221589412</v>
      </c>
      <c r="D461">
        <v>370738</v>
      </c>
      <c r="E461">
        <v>273984</v>
      </c>
      <c r="F461">
        <v>-2.4311400000000001</v>
      </c>
      <c r="G461">
        <v>52.363120000000002</v>
      </c>
      <c r="H461">
        <v>22</v>
      </c>
      <c r="I461">
        <v>3</v>
      </c>
      <c r="J461" t="str">
        <f>VLOOKUP(I461, Lookups!$B$1:$C$4, 2, FALSE)</f>
        <v>Slight</v>
      </c>
      <c r="K461">
        <v>2</v>
      </c>
      <c r="L461">
        <v>4</v>
      </c>
      <c r="M461" s="1">
        <v>45785</v>
      </c>
      <c r="N461">
        <v>5</v>
      </c>
      <c r="O461" t="str">
        <f>VLOOKUP(N461, Lookups!$B$6:$C$12, 2, FALSE)</f>
        <v>Thursday</v>
      </c>
      <c r="P461" s="2">
        <v>0.74791666666666667</v>
      </c>
      <c r="Q461">
        <v>-1</v>
      </c>
      <c r="R461" t="s">
        <v>49</v>
      </c>
      <c r="S461" t="s">
        <v>45</v>
      </c>
      <c r="T461" t="s">
        <v>45</v>
      </c>
      <c r="U461">
        <v>4</v>
      </c>
      <c r="V461" t="str">
        <f>VLOOKUP(U461, Lookups!$B$51:$C$57, 2, FALSE)</f>
        <v>B</v>
      </c>
      <c r="W461">
        <v>4202</v>
      </c>
      <c r="X461" t="str">
        <f>V461&amp;W461</f>
        <v>B4202</v>
      </c>
      <c r="Y461">
        <v>6</v>
      </c>
      <c r="Z461" t="str">
        <f>VLOOKUP(Y461, Lookups!$B$14:$C$21, 2, FALSE)</f>
        <v>Single carriageway</v>
      </c>
      <c r="AA461">
        <v>60</v>
      </c>
      <c r="AB461">
        <v>-1</v>
      </c>
      <c r="AC461">
        <v>16</v>
      </c>
      <c r="AD461">
        <v>4</v>
      </c>
      <c r="AE461">
        <v>6</v>
      </c>
      <c r="AF461">
        <v>0</v>
      </c>
      <c r="AG461">
        <v>-1</v>
      </c>
      <c r="AH461">
        <v>-1</v>
      </c>
      <c r="AI461">
        <v>0</v>
      </c>
      <c r="AJ461">
        <v>1</v>
      </c>
      <c r="AK461" t="str">
        <f>VLOOKUP(AJ461, Lookups!$B$23:$C$28, 2, FALSE)</f>
        <v>Daylight</v>
      </c>
      <c r="AL461">
        <v>1</v>
      </c>
      <c r="AM461" t="str">
        <f>VLOOKUP(AL461, Lookups!$B$30:$C$39, 2, FALSE)</f>
        <v>Fine / Clear</v>
      </c>
      <c r="AN461">
        <v>1</v>
      </c>
      <c r="AO461" t="str">
        <f>VLOOKUP(AN461, Lookups!$B$41:$C$49, 2, FALSE)</f>
        <v>Dry</v>
      </c>
      <c r="AP461">
        <v>-1</v>
      </c>
      <c r="AQ461">
        <v>-1</v>
      </c>
      <c r="AR461">
        <v>0</v>
      </c>
      <c r="AS461">
        <v>2</v>
      </c>
      <c r="AT461">
        <v>1</v>
      </c>
      <c r="AU461">
        <v>2</v>
      </c>
      <c r="AV461" t="s">
        <v>123</v>
      </c>
      <c r="AW461">
        <v>3</v>
      </c>
      <c r="AX461">
        <v>1</v>
      </c>
      <c r="AY461">
        <v>0</v>
      </c>
      <c r="AZ461">
        <v>1</v>
      </c>
    </row>
    <row r="462" spans="1:52" x14ac:dyDescent="0.35">
      <c r="A462">
        <v>2025221657455</v>
      </c>
      <c r="B462">
        <v>2025</v>
      </c>
      <c r="C462">
        <v>221657455</v>
      </c>
      <c r="D462">
        <v>404466</v>
      </c>
      <c r="E462">
        <v>265343</v>
      </c>
      <c r="F462">
        <v>-1.9359500000000001</v>
      </c>
      <c r="G462">
        <v>52.286209999999997</v>
      </c>
      <c r="H462">
        <v>22</v>
      </c>
      <c r="I462">
        <v>2</v>
      </c>
      <c r="J462" t="str">
        <f>VLOOKUP(I462, Lookups!$B$1:$C$4, 2, FALSE)</f>
        <v>Serious</v>
      </c>
      <c r="K462">
        <v>1</v>
      </c>
      <c r="L462">
        <v>2</v>
      </c>
      <c r="M462" s="1">
        <v>45952</v>
      </c>
      <c r="N462">
        <v>4</v>
      </c>
      <c r="O462" t="str">
        <f>VLOOKUP(N462, Lookups!$B$6:$C$12, 2, FALSE)</f>
        <v>Wednesday</v>
      </c>
      <c r="P462" s="2">
        <v>2.0833333333333332E-2</v>
      </c>
      <c r="Q462">
        <v>-1</v>
      </c>
      <c r="R462" t="s">
        <v>69</v>
      </c>
      <c r="S462" t="s">
        <v>45</v>
      </c>
      <c r="T462" t="s">
        <v>45</v>
      </c>
      <c r="U462">
        <v>6</v>
      </c>
      <c r="V462" t="str">
        <f>VLOOKUP(U462, Lookups!$B$51:$C$57, 2, FALSE)</f>
        <v>Unclassified</v>
      </c>
      <c r="W462">
        <v>0</v>
      </c>
      <c r="X462" t="s">
        <v>362</v>
      </c>
      <c r="Y462">
        <v>6</v>
      </c>
      <c r="Z462" t="str">
        <f>VLOOKUP(Y462, Lookups!$B$14:$C$21, 2, FALSE)</f>
        <v>Single carriageway</v>
      </c>
      <c r="AA462">
        <v>40</v>
      </c>
      <c r="AB462">
        <v>-1</v>
      </c>
      <c r="AC462">
        <v>0</v>
      </c>
      <c r="AD462">
        <v>-1</v>
      </c>
      <c r="AE462">
        <v>6</v>
      </c>
      <c r="AF462">
        <v>0</v>
      </c>
      <c r="AG462">
        <v>-1</v>
      </c>
      <c r="AH462">
        <v>-1</v>
      </c>
      <c r="AI462">
        <v>0</v>
      </c>
      <c r="AJ462">
        <v>5</v>
      </c>
      <c r="AK462" t="str">
        <f>VLOOKUP(AJ462, Lookups!$B$23:$C$28, 2, FALSE)</f>
        <v>Darkness (Unlit)</v>
      </c>
      <c r="AL462">
        <v>1</v>
      </c>
      <c r="AM462" t="str">
        <f>VLOOKUP(AL462, Lookups!$B$30:$C$39, 2, FALSE)</f>
        <v>Fine / Clear</v>
      </c>
      <c r="AN462">
        <v>2</v>
      </c>
      <c r="AO462" t="str">
        <f>VLOOKUP(AN462, Lookups!$B$41:$C$49, 2, FALSE)</f>
        <v>Wet / damp</v>
      </c>
      <c r="AP462">
        <v>-1</v>
      </c>
      <c r="AQ462">
        <v>-1</v>
      </c>
      <c r="AR462">
        <v>0</v>
      </c>
      <c r="AS462">
        <v>2</v>
      </c>
      <c r="AT462">
        <v>3</v>
      </c>
      <c r="AU462">
        <v>2</v>
      </c>
      <c r="AV462" t="s">
        <v>151</v>
      </c>
      <c r="AW462">
        <v>7</v>
      </c>
      <c r="AX462">
        <v>1</v>
      </c>
      <c r="AY462">
        <v>1</v>
      </c>
      <c r="AZ462">
        <v>0</v>
      </c>
    </row>
    <row r="463" spans="1:52" x14ac:dyDescent="0.35">
      <c r="A463">
        <v>2025221601976</v>
      </c>
      <c r="B463">
        <v>2025</v>
      </c>
      <c r="C463">
        <v>221601976</v>
      </c>
      <c r="D463">
        <v>407909</v>
      </c>
      <c r="E463">
        <v>268112</v>
      </c>
      <c r="F463">
        <v>-1.88541</v>
      </c>
      <c r="G463">
        <v>52.311059999999998</v>
      </c>
      <c r="H463">
        <v>22</v>
      </c>
      <c r="I463">
        <v>3</v>
      </c>
      <c r="J463" t="str">
        <f>VLOOKUP(I463, Lookups!$B$1:$C$4, 2, FALSE)</f>
        <v>Slight</v>
      </c>
      <c r="K463">
        <v>2</v>
      </c>
      <c r="L463">
        <v>1</v>
      </c>
      <c r="M463" s="1">
        <v>45819</v>
      </c>
      <c r="N463">
        <v>4</v>
      </c>
      <c r="O463" t="str">
        <f>VLOOKUP(N463, Lookups!$B$6:$C$12, 2, FALSE)</f>
        <v>Wednesday</v>
      </c>
      <c r="P463" s="2">
        <v>0.37847222222222221</v>
      </c>
      <c r="Q463">
        <v>-1</v>
      </c>
      <c r="R463" t="s">
        <v>69</v>
      </c>
      <c r="S463" t="s">
        <v>45</v>
      </c>
      <c r="T463" t="s">
        <v>45</v>
      </c>
      <c r="U463">
        <v>3</v>
      </c>
      <c r="V463" t="str">
        <f>VLOOKUP(U463, Lookups!$B$51:$C$57, 2, FALSE)</f>
        <v>A</v>
      </c>
      <c r="W463">
        <v>4023</v>
      </c>
      <c r="X463" t="str">
        <f>V463&amp;W463</f>
        <v>A4023</v>
      </c>
      <c r="Y463">
        <v>1</v>
      </c>
      <c r="Z463" t="str">
        <f>VLOOKUP(Y463, Lookups!$B$14:$C$21, 2, FALSE)</f>
        <v>Roundabout</v>
      </c>
      <c r="AA463">
        <v>30</v>
      </c>
      <c r="AB463">
        <v>-1</v>
      </c>
      <c r="AC463">
        <v>-1</v>
      </c>
      <c r="AD463">
        <v>4</v>
      </c>
      <c r="AE463">
        <v>6</v>
      </c>
      <c r="AF463">
        <v>0</v>
      </c>
      <c r="AG463">
        <v>-1</v>
      </c>
      <c r="AH463">
        <v>-1</v>
      </c>
      <c r="AI463">
        <v>0</v>
      </c>
      <c r="AJ463">
        <v>1</v>
      </c>
      <c r="AK463" t="str">
        <f>VLOOKUP(AJ463, Lookups!$B$23:$C$28, 2, FALSE)</f>
        <v>Daylight</v>
      </c>
      <c r="AL463">
        <v>1</v>
      </c>
      <c r="AM463" t="str">
        <f>VLOOKUP(AL463, Lookups!$B$30:$C$39, 2, FALSE)</f>
        <v>Fine / Clear</v>
      </c>
      <c r="AN463">
        <v>1</v>
      </c>
      <c r="AO463" t="str">
        <f>VLOOKUP(AN463, Lookups!$B$41:$C$49, 2, FALSE)</f>
        <v>Dry</v>
      </c>
      <c r="AP463">
        <v>-1</v>
      </c>
      <c r="AQ463">
        <v>-1</v>
      </c>
      <c r="AR463">
        <v>0</v>
      </c>
      <c r="AS463">
        <v>2</v>
      </c>
      <c r="AT463">
        <v>3</v>
      </c>
      <c r="AU463">
        <v>2</v>
      </c>
      <c r="AV463" t="s">
        <v>272</v>
      </c>
      <c r="AW463">
        <v>3</v>
      </c>
      <c r="AX463">
        <v>1</v>
      </c>
      <c r="AY463">
        <v>0</v>
      </c>
      <c r="AZ463">
        <v>1</v>
      </c>
    </row>
    <row r="464" spans="1:52" x14ac:dyDescent="0.35">
      <c r="A464">
        <v>2025221602092</v>
      </c>
      <c r="B464">
        <v>2025</v>
      </c>
      <c r="C464">
        <v>221602092</v>
      </c>
      <c r="D464">
        <v>404681</v>
      </c>
      <c r="E464">
        <v>267586</v>
      </c>
      <c r="F464">
        <v>-1.9327700000000001</v>
      </c>
      <c r="G464">
        <v>52.306370000000001</v>
      </c>
      <c r="H464">
        <v>22</v>
      </c>
      <c r="I464">
        <v>3</v>
      </c>
      <c r="J464" t="str">
        <f>VLOOKUP(I464, Lookups!$B$1:$C$4, 2, FALSE)</f>
        <v>Slight</v>
      </c>
      <c r="K464">
        <v>1</v>
      </c>
      <c r="L464">
        <v>1</v>
      </c>
      <c r="M464" s="1">
        <v>45820</v>
      </c>
      <c r="N464">
        <v>5</v>
      </c>
      <c r="O464" t="str">
        <f>VLOOKUP(N464, Lookups!$B$6:$C$12, 2, FALSE)</f>
        <v>Thursday</v>
      </c>
      <c r="P464" s="2">
        <v>0.7729166666666667</v>
      </c>
      <c r="Q464">
        <v>-1</v>
      </c>
      <c r="R464" t="s">
        <v>69</v>
      </c>
      <c r="S464" t="s">
        <v>45</v>
      </c>
      <c r="T464" t="s">
        <v>45</v>
      </c>
      <c r="U464">
        <v>6</v>
      </c>
      <c r="V464" t="str">
        <f>VLOOKUP(U464, Lookups!$B$51:$C$57, 2, FALSE)</f>
        <v>Unclassified</v>
      </c>
      <c r="W464">
        <v>0</v>
      </c>
      <c r="X464" t="s">
        <v>362</v>
      </c>
      <c r="Y464">
        <v>6</v>
      </c>
      <c r="Z464" t="str">
        <f>VLOOKUP(Y464, Lookups!$B$14:$C$21, 2, FALSE)</f>
        <v>Single carriageway</v>
      </c>
      <c r="AA464">
        <v>30</v>
      </c>
      <c r="AB464">
        <v>-1</v>
      </c>
      <c r="AC464">
        <v>0</v>
      </c>
      <c r="AD464">
        <v>-1</v>
      </c>
      <c r="AE464">
        <v>6</v>
      </c>
      <c r="AF464">
        <v>0</v>
      </c>
      <c r="AG464">
        <v>-1</v>
      </c>
      <c r="AH464">
        <v>-1</v>
      </c>
      <c r="AI464">
        <v>0</v>
      </c>
      <c r="AJ464">
        <v>1</v>
      </c>
      <c r="AK464" t="str">
        <f>VLOOKUP(AJ464, Lookups!$B$23:$C$28, 2, FALSE)</f>
        <v>Daylight</v>
      </c>
      <c r="AL464">
        <v>1</v>
      </c>
      <c r="AM464" t="str">
        <f>VLOOKUP(AL464, Lookups!$B$30:$C$39, 2, FALSE)</f>
        <v>Fine / Clear</v>
      </c>
      <c r="AN464">
        <v>1</v>
      </c>
      <c r="AO464" t="str">
        <f>VLOOKUP(AN464, Lookups!$B$41:$C$49, 2, FALSE)</f>
        <v>Dry</v>
      </c>
      <c r="AP464">
        <v>-1</v>
      </c>
      <c r="AQ464">
        <v>-1</v>
      </c>
      <c r="AR464">
        <v>0</v>
      </c>
      <c r="AS464">
        <v>1</v>
      </c>
      <c r="AT464">
        <v>1</v>
      </c>
      <c r="AU464">
        <v>2</v>
      </c>
      <c r="AV464" t="s">
        <v>192</v>
      </c>
      <c r="AW464">
        <v>3</v>
      </c>
      <c r="AX464">
        <v>1</v>
      </c>
      <c r="AY464">
        <v>0</v>
      </c>
      <c r="AZ464">
        <v>1</v>
      </c>
    </row>
    <row r="465" spans="1:52" x14ac:dyDescent="0.35">
      <c r="A465">
        <v>2025221647469</v>
      </c>
      <c r="B465">
        <v>2025</v>
      </c>
      <c r="C465">
        <v>221647469</v>
      </c>
      <c r="D465">
        <v>394367</v>
      </c>
      <c r="E465">
        <v>246206</v>
      </c>
      <c r="F465">
        <v>-2.0836700000000001</v>
      </c>
      <c r="G465">
        <v>52.114150000000002</v>
      </c>
      <c r="H465">
        <v>22</v>
      </c>
      <c r="I465">
        <v>2</v>
      </c>
      <c r="J465" t="str">
        <f>VLOOKUP(I465, Lookups!$B$1:$C$4, 2, FALSE)</f>
        <v>Serious</v>
      </c>
      <c r="K465">
        <v>2</v>
      </c>
      <c r="L465">
        <v>1</v>
      </c>
      <c r="M465" s="1">
        <v>45928</v>
      </c>
      <c r="N465">
        <v>1</v>
      </c>
      <c r="O465" t="str">
        <f>VLOOKUP(N465, Lookups!$B$6:$C$12, 2, FALSE)</f>
        <v>Sunday</v>
      </c>
      <c r="P465" s="2">
        <v>0.37291666666666667</v>
      </c>
      <c r="Q465">
        <v>-1</v>
      </c>
      <c r="R465" t="s">
        <v>54</v>
      </c>
      <c r="S465" t="s">
        <v>45</v>
      </c>
      <c r="T465" t="s">
        <v>45</v>
      </c>
      <c r="U465">
        <v>3</v>
      </c>
      <c r="V465" t="str">
        <f>VLOOKUP(U465, Lookups!$B$51:$C$57, 2, FALSE)</f>
        <v>A</v>
      </c>
      <c r="W465">
        <v>4104</v>
      </c>
      <c r="X465" t="str">
        <f t="shared" ref="X465:X466" si="62">V465&amp;W465</f>
        <v>A4104</v>
      </c>
      <c r="Y465">
        <v>6</v>
      </c>
      <c r="Z465" t="str">
        <f>VLOOKUP(Y465, Lookups!$B$14:$C$21, 2, FALSE)</f>
        <v>Single carriageway</v>
      </c>
      <c r="AA465">
        <v>30</v>
      </c>
      <c r="AB465">
        <v>-1</v>
      </c>
      <c r="AC465">
        <v>13</v>
      </c>
      <c r="AD465">
        <v>4</v>
      </c>
      <c r="AE465">
        <v>3</v>
      </c>
      <c r="AF465">
        <v>4104</v>
      </c>
      <c r="AG465">
        <v>-1</v>
      </c>
      <c r="AH465">
        <v>-1</v>
      </c>
      <c r="AI465">
        <v>0</v>
      </c>
      <c r="AJ465">
        <v>1</v>
      </c>
      <c r="AK465" t="str">
        <f>VLOOKUP(AJ465, Lookups!$B$23:$C$28, 2, FALSE)</f>
        <v>Daylight</v>
      </c>
      <c r="AL465">
        <v>1</v>
      </c>
      <c r="AM465" t="str">
        <f>VLOOKUP(AL465, Lookups!$B$30:$C$39, 2, FALSE)</f>
        <v>Fine / Clear</v>
      </c>
      <c r="AN465">
        <v>2</v>
      </c>
      <c r="AO465" t="str">
        <f>VLOOKUP(AN465, Lookups!$B$41:$C$49, 2, FALSE)</f>
        <v>Wet / damp</v>
      </c>
      <c r="AP465">
        <v>-1</v>
      </c>
      <c r="AQ465">
        <v>-1</v>
      </c>
      <c r="AR465">
        <v>0</v>
      </c>
      <c r="AS465">
        <v>2</v>
      </c>
      <c r="AT465">
        <v>1</v>
      </c>
      <c r="AU465">
        <v>2</v>
      </c>
      <c r="AV465" t="s">
        <v>215</v>
      </c>
      <c r="AW465">
        <v>7</v>
      </c>
      <c r="AX465">
        <v>1</v>
      </c>
      <c r="AY465">
        <v>1</v>
      </c>
      <c r="AZ465">
        <v>0</v>
      </c>
    </row>
    <row r="466" spans="1:52" x14ac:dyDescent="0.35">
      <c r="A466">
        <v>2025221659719</v>
      </c>
      <c r="B466">
        <v>2025</v>
      </c>
      <c r="C466">
        <v>221659719</v>
      </c>
      <c r="D466">
        <v>396904</v>
      </c>
      <c r="E466">
        <v>275666</v>
      </c>
      <c r="F466">
        <v>-2.04691</v>
      </c>
      <c r="G466">
        <v>52.379019999999997</v>
      </c>
      <c r="H466">
        <v>22</v>
      </c>
      <c r="I466">
        <v>3</v>
      </c>
      <c r="J466" t="str">
        <f>VLOOKUP(I466, Lookups!$B$1:$C$4, 2, FALSE)</f>
        <v>Slight</v>
      </c>
      <c r="K466">
        <v>2</v>
      </c>
      <c r="L466">
        <v>1</v>
      </c>
      <c r="M466" s="1">
        <v>45953</v>
      </c>
      <c r="N466">
        <v>5</v>
      </c>
      <c r="O466" t="str">
        <f>VLOOKUP(N466, Lookups!$B$6:$C$12, 2, FALSE)</f>
        <v>Thursday</v>
      </c>
      <c r="P466" s="2">
        <v>0.83333333333333337</v>
      </c>
      <c r="Q466">
        <v>-1</v>
      </c>
      <c r="R466" t="s">
        <v>47</v>
      </c>
      <c r="S466" t="s">
        <v>45</v>
      </c>
      <c r="T466" t="s">
        <v>45</v>
      </c>
      <c r="U466">
        <v>1</v>
      </c>
      <c r="V466" t="str">
        <f>VLOOKUP(U466, Lookups!$B$51:$C$57, 2, FALSE)</f>
        <v>M</v>
      </c>
      <c r="W466">
        <v>5</v>
      </c>
      <c r="X466" t="str">
        <f t="shared" si="62"/>
        <v>M5</v>
      </c>
      <c r="Y466">
        <v>1</v>
      </c>
      <c r="Z466" t="str">
        <f>VLOOKUP(Y466, Lookups!$B$14:$C$21, 2, FALSE)</f>
        <v>Roundabout</v>
      </c>
      <c r="AA466">
        <v>30</v>
      </c>
      <c r="AB466">
        <v>-1</v>
      </c>
      <c r="AC466">
        <v>-1</v>
      </c>
      <c r="AD466">
        <v>2</v>
      </c>
      <c r="AE466">
        <v>3</v>
      </c>
      <c r="AF466">
        <v>38</v>
      </c>
      <c r="AG466">
        <v>-1</v>
      </c>
      <c r="AH466">
        <v>-1</v>
      </c>
      <c r="AI466">
        <v>0</v>
      </c>
      <c r="AJ466">
        <v>4</v>
      </c>
      <c r="AK466" t="str">
        <f>VLOOKUP(AJ466, Lookups!$B$23:$C$28, 2, FALSE)</f>
        <v>Darkness (Lit)</v>
      </c>
      <c r="AL466">
        <v>1</v>
      </c>
      <c r="AM466" t="str">
        <f>VLOOKUP(AL466, Lookups!$B$30:$C$39, 2, FALSE)</f>
        <v>Fine / Clear</v>
      </c>
      <c r="AN466">
        <v>1</v>
      </c>
      <c r="AO466" t="str">
        <f>VLOOKUP(AN466, Lookups!$B$41:$C$49, 2, FALSE)</f>
        <v>Dry</v>
      </c>
      <c r="AP466">
        <v>-1</v>
      </c>
      <c r="AQ466">
        <v>-1</v>
      </c>
      <c r="AR466">
        <v>0</v>
      </c>
      <c r="AS466">
        <v>2</v>
      </c>
      <c r="AT466">
        <v>2</v>
      </c>
      <c r="AU466">
        <v>1</v>
      </c>
      <c r="AV466" t="s">
        <v>146</v>
      </c>
      <c r="AW466">
        <v>3</v>
      </c>
      <c r="AX466">
        <v>1</v>
      </c>
      <c r="AY466">
        <v>0</v>
      </c>
      <c r="AZ466">
        <v>1</v>
      </c>
    </row>
    <row r="467" spans="1:52" x14ac:dyDescent="0.35">
      <c r="A467">
        <v>2025221675701</v>
      </c>
      <c r="B467">
        <v>2025</v>
      </c>
      <c r="C467">
        <v>221675701</v>
      </c>
      <c r="D467">
        <v>388634</v>
      </c>
      <c r="E467">
        <v>261609</v>
      </c>
      <c r="F467">
        <v>-2.1679200000000001</v>
      </c>
      <c r="G467">
        <v>52.252540000000003</v>
      </c>
      <c r="H467">
        <v>22</v>
      </c>
      <c r="I467">
        <v>2</v>
      </c>
      <c r="J467" t="str">
        <f>VLOOKUP(I467, Lookups!$B$1:$C$4, 2, FALSE)</f>
        <v>Serious</v>
      </c>
      <c r="K467">
        <v>1</v>
      </c>
      <c r="L467">
        <v>2</v>
      </c>
      <c r="M467" s="1">
        <v>45990</v>
      </c>
      <c r="N467">
        <v>7</v>
      </c>
      <c r="O467" t="str">
        <f>VLOOKUP(N467, Lookups!$B$6:$C$12, 2, FALSE)</f>
        <v>Saturday</v>
      </c>
      <c r="P467" s="2">
        <v>0.54861111111111116</v>
      </c>
      <c r="Q467">
        <v>-1</v>
      </c>
      <c r="R467" t="s">
        <v>54</v>
      </c>
      <c r="S467" t="s">
        <v>45</v>
      </c>
      <c r="T467" t="s">
        <v>45</v>
      </c>
      <c r="U467">
        <v>6</v>
      </c>
      <c r="V467" t="str">
        <f>VLOOKUP(U467, Lookups!$B$51:$C$57, 2, FALSE)</f>
        <v>Unclassified</v>
      </c>
      <c r="W467">
        <v>0</v>
      </c>
      <c r="X467" t="s">
        <v>362</v>
      </c>
      <c r="Y467">
        <v>1</v>
      </c>
      <c r="Z467" t="str">
        <f>VLOOKUP(Y467, Lookups!$B$14:$C$21, 2, FALSE)</f>
        <v>Roundabout</v>
      </c>
      <c r="AA467">
        <v>30</v>
      </c>
      <c r="AB467">
        <v>-1</v>
      </c>
      <c r="AC467">
        <v>-1</v>
      </c>
      <c r="AD467">
        <v>4</v>
      </c>
      <c r="AE467">
        <v>6</v>
      </c>
      <c r="AF467">
        <v>0</v>
      </c>
      <c r="AG467">
        <v>-1</v>
      </c>
      <c r="AH467">
        <v>-1</v>
      </c>
      <c r="AI467">
        <v>17</v>
      </c>
      <c r="AJ467">
        <v>1</v>
      </c>
      <c r="AK467" t="str">
        <f>VLOOKUP(AJ467, Lookups!$B$23:$C$28, 2, FALSE)</f>
        <v>Daylight</v>
      </c>
      <c r="AL467">
        <v>1</v>
      </c>
      <c r="AM467" t="str">
        <f>VLOOKUP(AL467, Lookups!$B$30:$C$39, 2, FALSE)</f>
        <v>Fine / Clear</v>
      </c>
      <c r="AN467">
        <v>2</v>
      </c>
      <c r="AO467" t="str">
        <f>VLOOKUP(AN467, Lookups!$B$41:$C$49, 2, FALSE)</f>
        <v>Wet / damp</v>
      </c>
      <c r="AP467">
        <v>-1</v>
      </c>
      <c r="AQ467">
        <v>-1</v>
      </c>
      <c r="AR467">
        <v>0</v>
      </c>
      <c r="AS467">
        <v>2</v>
      </c>
      <c r="AT467">
        <v>1</v>
      </c>
      <c r="AU467">
        <v>2</v>
      </c>
      <c r="AV467" t="s">
        <v>264</v>
      </c>
      <c r="AW467">
        <v>6</v>
      </c>
      <c r="AX467">
        <v>1</v>
      </c>
      <c r="AY467">
        <v>1</v>
      </c>
      <c r="AZ467">
        <v>0</v>
      </c>
    </row>
    <row r="468" spans="1:52" x14ac:dyDescent="0.35">
      <c r="A468">
        <v>2025221587299</v>
      </c>
      <c r="B468">
        <v>2025</v>
      </c>
      <c r="C468">
        <v>221587299</v>
      </c>
      <c r="D468">
        <v>389646</v>
      </c>
      <c r="E468">
        <v>263408</v>
      </c>
      <c r="F468">
        <v>-2.1531500000000001</v>
      </c>
      <c r="G468">
        <v>52.268729999999998</v>
      </c>
      <c r="H468">
        <v>22</v>
      </c>
      <c r="I468">
        <v>3</v>
      </c>
      <c r="J468" t="str">
        <f>VLOOKUP(I468, Lookups!$B$1:$C$4, 2, FALSE)</f>
        <v>Slight</v>
      </c>
      <c r="K468">
        <v>2</v>
      </c>
      <c r="L468">
        <v>1</v>
      </c>
      <c r="M468" s="1">
        <v>45751</v>
      </c>
      <c r="N468">
        <v>6</v>
      </c>
      <c r="O468" t="str">
        <f>VLOOKUP(N468, Lookups!$B$6:$C$12, 2, FALSE)</f>
        <v>Friday</v>
      </c>
      <c r="P468" s="2">
        <v>0.70625000000000004</v>
      </c>
      <c r="Q468">
        <v>-1</v>
      </c>
      <c r="R468" t="s">
        <v>54</v>
      </c>
      <c r="S468" t="s">
        <v>45</v>
      </c>
      <c r="T468" t="s">
        <v>45</v>
      </c>
      <c r="U468">
        <v>4</v>
      </c>
      <c r="V468" t="str">
        <f>VLOOKUP(U468, Lookups!$B$51:$C$57, 2, FALSE)</f>
        <v>B</v>
      </c>
      <c r="W468">
        <v>4090</v>
      </c>
      <c r="X468" t="str">
        <f>V468&amp;W468</f>
        <v>B4090</v>
      </c>
      <c r="Y468">
        <v>6</v>
      </c>
      <c r="Z468" t="str">
        <f>VLOOKUP(Y468, Lookups!$B$14:$C$21, 2, FALSE)</f>
        <v>Single carriageway</v>
      </c>
      <c r="AA468">
        <v>30</v>
      </c>
      <c r="AB468">
        <v>-1</v>
      </c>
      <c r="AC468">
        <v>13</v>
      </c>
      <c r="AD468">
        <v>4</v>
      </c>
      <c r="AE468">
        <v>6</v>
      </c>
      <c r="AF468">
        <v>0</v>
      </c>
      <c r="AG468">
        <v>-1</v>
      </c>
      <c r="AH468">
        <v>-1</v>
      </c>
      <c r="AI468">
        <v>0</v>
      </c>
      <c r="AJ468">
        <v>1</v>
      </c>
      <c r="AK468" t="str">
        <f>VLOOKUP(AJ468, Lookups!$B$23:$C$28, 2, FALSE)</f>
        <v>Daylight</v>
      </c>
      <c r="AL468">
        <v>1</v>
      </c>
      <c r="AM468" t="str">
        <f>VLOOKUP(AL468, Lookups!$B$30:$C$39, 2, FALSE)</f>
        <v>Fine / Clear</v>
      </c>
      <c r="AN468">
        <v>1</v>
      </c>
      <c r="AO468" t="str">
        <f>VLOOKUP(AN468, Lookups!$B$41:$C$49, 2, FALSE)</f>
        <v>Dry</v>
      </c>
      <c r="AP468">
        <v>-1</v>
      </c>
      <c r="AQ468">
        <v>-1</v>
      </c>
      <c r="AR468">
        <v>0</v>
      </c>
      <c r="AS468">
        <v>1</v>
      </c>
      <c r="AT468">
        <v>1</v>
      </c>
      <c r="AU468">
        <v>2</v>
      </c>
      <c r="AV468" t="s">
        <v>74</v>
      </c>
      <c r="AW468">
        <v>3</v>
      </c>
      <c r="AX468">
        <v>1</v>
      </c>
      <c r="AY468">
        <v>0</v>
      </c>
      <c r="AZ468">
        <v>1</v>
      </c>
    </row>
    <row r="469" spans="1:52" x14ac:dyDescent="0.35">
      <c r="A469">
        <v>2025221600298</v>
      </c>
      <c r="B469">
        <v>2025</v>
      </c>
      <c r="C469">
        <v>221600298</v>
      </c>
      <c r="D469">
        <v>384858</v>
      </c>
      <c r="E469">
        <v>256771</v>
      </c>
      <c r="F469">
        <v>-2.2230099999999999</v>
      </c>
      <c r="G469">
        <v>52.208950000000002</v>
      </c>
      <c r="H469">
        <v>22</v>
      </c>
      <c r="I469">
        <v>3</v>
      </c>
      <c r="J469" t="str">
        <f>VLOOKUP(I469, Lookups!$B$1:$C$4, 2, FALSE)</f>
        <v>Slight</v>
      </c>
      <c r="K469">
        <v>2</v>
      </c>
      <c r="L469">
        <v>1</v>
      </c>
      <c r="M469" s="1">
        <v>45810</v>
      </c>
      <c r="N469">
        <v>2</v>
      </c>
      <c r="O469" t="str">
        <f>VLOOKUP(N469, Lookups!$B$6:$C$12, 2, FALSE)</f>
        <v>Monday</v>
      </c>
      <c r="P469" s="2">
        <v>0.62847222222222221</v>
      </c>
      <c r="Q469">
        <v>-1</v>
      </c>
      <c r="R469" t="s">
        <v>60</v>
      </c>
      <c r="S469" t="s">
        <v>45</v>
      </c>
      <c r="T469" t="s">
        <v>45</v>
      </c>
      <c r="U469">
        <v>6</v>
      </c>
      <c r="V469" t="str">
        <f>VLOOKUP(U469, Lookups!$B$51:$C$57, 2, FALSE)</f>
        <v>Unclassified</v>
      </c>
      <c r="W469">
        <v>0</v>
      </c>
      <c r="X469" t="s">
        <v>362</v>
      </c>
      <c r="Y469">
        <v>6</v>
      </c>
      <c r="Z469" t="str">
        <f>VLOOKUP(Y469, Lookups!$B$14:$C$21, 2, FALSE)</f>
        <v>Single carriageway</v>
      </c>
      <c r="AA469">
        <v>30</v>
      </c>
      <c r="AB469">
        <v>-1</v>
      </c>
      <c r="AC469">
        <v>13</v>
      </c>
      <c r="AD469">
        <v>4</v>
      </c>
      <c r="AE469">
        <v>6</v>
      </c>
      <c r="AF469">
        <v>0</v>
      </c>
      <c r="AG469">
        <v>-1</v>
      </c>
      <c r="AH469">
        <v>-1</v>
      </c>
      <c r="AI469">
        <v>0</v>
      </c>
      <c r="AJ469">
        <v>1</v>
      </c>
      <c r="AK469" t="str">
        <f>VLOOKUP(AJ469, Lookups!$B$23:$C$28, 2, FALSE)</f>
        <v>Daylight</v>
      </c>
      <c r="AL469">
        <v>1</v>
      </c>
      <c r="AM469" t="str">
        <f>VLOOKUP(AL469, Lookups!$B$30:$C$39, 2, FALSE)</f>
        <v>Fine / Clear</v>
      </c>
      <c r="AN469">
        <v>1</v>
      </c>
      <c r="AO469" t="str">
        <f>VLOOKUP(AN469, Lookups!$B$41:$C$49, 2, FALSE)</f>
        <v>Dry</v>
      </c>
      <c r="AP469">
        <v>-1</v>
      </c>
      <c r="AQ469">
        <v>-1</v>
      </c>
      <c r="AR469">
        <v>0</v>
      </c>
      <c r="AS469">
        <v>1</v>
      </c>
      <c r="AT469">
        <v>3</v>
      </c>
      <c r="AU469">
        <v>2</v>
      </c>
      <c r="AV469" t="s">
        <v>273</v>
      </c>
      <c r="AW469">
        <v>3</v>
      </c>
      <c r="AX469">
        <v>1</v>
      </c>
      <c r="AY469">
        <v>0</v>
      </c>
      <c r="AZ469">
        <v>1</v>
      </c>
    </row>
    <row r="470" spans="1:52" x14ac:dyDescent="0.35">
      <c r="A470">
        <v>2025221648233</v>
      </c>
      <c r="B470">
        <v>2025</v>
      </c>
      <c r="C470">
        <v>221648233</v>
      </c>
      <c r="D470">
        <v>379354</v>
      </c>
      <c r="E470">
        <v>275716</v>
      </c>
      <c r="F470">
        <v>-2.3047300000000002</v>
      </c>
      <c r="G470">
        <v>52.379089999999998</v>
      </c>
      <c r="H470">
        <v>22</v>
      </c>
      <c r="I470">
        <v>2</v>
      </c>
      <c r="J470" t="str">
        <f>VLOOKUP(I470, Lookups!$B$1:$C$4, 2, FALSE)</f>
        <v>Serious</v>
      </c>
      <c r="K470">
        <v>2</v>
      </c>
      <c r="L470">
        <v>2</v>
      </c>
      <c r="M470" s="1">
        <v>45925</v>
      </c>
      <c r="N470">
        <v>5</v>
      </c>
      <c r="O470" t="str">
        <f>VLOOKUP(N470, Lookups!$B$6:$C$12, 2, FALSE)</f>
        <v>Thursday</v>
      </c>
      <c r="P470" s="2">
        <v>0.77430555555555558</v>
      </c>
      <c r="Q470">
        <v>-1</v>
      </c>
      <c r="R470" t="s">
        <v>44</v>
      </c>
      <c r="S470" t="s">
        <v>45</v>
      </c>
      <c r="T470" t="s">
        <v>45</v>
      </c>
      <c r="U470">
        <v>4</v>
      </c>
      <c r="V470" t="str">
        <f>VLOOKUP(U470, Lookups!$B$51:$C$57, 2, FALSE)</f>
        <v>B</v>
      </c>
      <c r="W470">
        <v>4190</v>
      </c>
      <c r="X470" t="str">
        <f t="shared" ref="X470:X477" si="63">V470&amp;W470</f>
        <v>B4190</v>
      </c>
      <c r="Y470">
        <v>6</v>
      </c>
      <c r="Z470" t="str">
        <f>VLOOKUP(Y470, Lookups!$B$14:$C$21, 2, FALSE)</f>
        <v>Single carriageway</v>
      </c>
      <c r="AA470">
        <v>30</v>
      </c>
      <c r="AB470">
        <v>-1</v>
      </c>
      <c r="AC470">
        <v>13</v>
      </c>
      <c r="AD470">
        <v>4</v>
      </c>
      <c r="AE470">
        <v>6</v>
      </c>
      <c r="AF470">
        <v>0</v>
      </c>
      <c r="AG470">
        <v>-1</v>
      </c>
      <c r="AH470">
        <v>-1</v>
      </c>
      <c r="AI470">
        <v>0</v>
      </c>
      <c r="AJ470">
        <v>1</v>
      </c>
      <c r="AK470" t="str">
        <f>VLOOKUP(AJ470, Lookups!$B$23:$C$28, 2, FALSE)</f>
        <v>Daylight</v>
      </c>
      <c r="AL470">
        <v>1</v>
      </c>
      <c r="AM470" t="str">
        <f>VLOOKUP(AL470, Lookups!$B$30:$C$39, 2, FALSE)</f>
        <v>Fine / Clear</v>
      </c>
      <c r="AN470">
        <v>1</v>
      </c>
      <c r="AO470" t="str">
        <f>VLOOKUP(AN470, Lookups!$B$41:$C$49, 2, FALSE)</f>
        <v>Dry</v>
      </c>
      <c r="AP470">
        <v>-1</v>
      </c>
      <c r="AQ470">
        <v>-1</v>
      </c>
      <c r="AR470">
        <v>0</v>
      </c>
      <c r="AS470">
        <v>2</v>
      </c>
      <c r="AT470">
        <v>1</v>
      </c>
      <c r="AU470">
        <v>2</v>
      </c>
      <c r="AV470" t="s">
        <v>135</v>
      </c>
      <c r="AW470">
        <v>7</v>
      </c>
      <c r="AX470">
        <v>1</v>
      </c>
      <c r="AY470">
        <v>1</v>
      </c>
      <c r="AZ470">
        <v>0</v>
      </c>
    </row>
    <row r="471" spans="1:52" x14ac:dyDescent="0.35">
      <c r="A471">
        <v>2025221661800</v>
      </c>
      <c r="B471">
        <v>2025</v>
      </c>
      <c r="C471">
        <v>221661800</v>
      </c>
      <c r="D471">
        <v>390099</v>
      </c>
      <c r="E471">
        <v>258400</v>
      </c>
      <c r="F471">
        <v>-2.14636</v>
      </c>
      <c r="G471">
        <v>52.223709999999997</v>
      </c>
      <c r="H471">
        <v>22</v>
      </c>
      <c r="I471">
        <v>3</v>
      </c>
      <c r="J471" t="str">
        <f>VLOOKUP(I471, Lookups!$B$1:$C$4, 2, FALSE)</f>
        <v>Slight</v>
      </c>
      <c r="K471">
        <v>5</v>
      </c>
      <c r="L471">
        <v>1</v>
      </c>
      <c r="M471" s="1">
        <v>45960</v>
      </c>
      <c r="N471">
        <v>5</v>
      </c>
      <c r="O471" t="str">
        <f>VLOOKUP(N471, Lookups!$B$6:$C$12, 2, FALSE)</f>
        <v>Thursday</v>
      </c>
      <c r="P471" s="2">
        <v>0.44444444444444442</v>
      </c>
      <c r="Q471">
        <v>-1</v>
      </c>
      <c r="R471" t="s">
        <v>54</v>
      </c>
      <c r="S471" t="s">
        <v>45</v>
      </c>
      <c r="T471" t="s">
        <v>45</v>
      </c>
      <c r="U471">
        <v>1</v>
      </c>
      <c r="V471" t="str">
        <f>VLOOKUP(U471, Lookups!$B$51:$C$57, 2, FALSE)</f>
        <v>M</v>
      </c>
      <c r="W471">
        <v>5</v>
      </c>
      <c r="X471" t="str">
        <f t="shared" si="63"/>
        <v>M5</v>
      </c>
      <c r="Y471">
        <v>3</v>
      </c>
      <c r="Z471" t="str">
        <f>VLOOKUP(Y471, Lookups!$B$14:$C$21, 2, FALSE)</f>
        <v>Dual carriageway</v>
      </c>
      <c r="AA471">
        <v>70</v>
      </c>
      <c r="AB471">
        <v>-1</v>
      </c>
      <c r="AC471">
        <v>0</v>
      </c>
      <c r="AD471">
        <v>-1</v>
      </c>
      <c r="AE471">
        <v>0</v>
      </c>
      <c r="AF471">
        <v>-1</v>
      </c>
      <c r="AG471">
        <v>-1</v>
      </c>
      <c r="AH471">
        <v>-1</v>
      </c>
      <c r="AI471">
        <v>0</v>
      </c>
      <c r="AJ471">
        <v>1</v>
      </c>
      <c r="AK471" t="str">
        <f>VLOOKUP(AJ471, Lookups!$B$23:$C$28, 2, FALSE)</f>
        <v>Daylight</v>
      </c>
      <c r="AL471">
        <v>1</v>
      </c>
      <c r="AM471" t="str">
        <f>VLOOKUP(AL471, Lookups!$B$30:$C$39, 2, FALSE)</f>
        <v>Fine / Clear</v>
      </c>
      <c r="AN471">
        <v>1</v>
      </c>
      <c r="AO471" t="str">
        <f>VLOOKUP(AN471, Lookups!$B$41:$C$49, 2, FALSE)</f>
        <v>Dry</v>
      </c>
      <c r="AP471">
        <v>-1</v>
      </c>
      <c r="AQ471">
        <v>-1</v>
      </c>
      <c r="AR471">
        <v>0</v>
      </c>
      <c r="AS471">
        <v>2</v>
      </c>
      <c r="AT471">
        <v>1</v>
      </c>
      <c r="AU471">
        <v>1</v>
      </c>
      <c r="AV471" t="s">
        <v>254</v>
      </c>
      <c r="AW471">
        <v>3</v>
      </c>
      <c r="AX471">
        <v>1</v>
      </c>
      <c r="AY471">
        <v>0</v>
      </c>
      <c r="AZ471">
        <v>1</v>
      </c>
    </row>
    <row r="472" spans="1:52" x14ac:dyDescent="0.35">
      <c r="A472">
        <v>2025221661316</v>
      </c>
      <c r="B472">
        <v>2025</v>
      </c>
      <c r="C472">
        <v>221661316</v>
      </c>
      <c r="D472">
        <v>379522</v>
      </c>
      <c r="E472">
        <v>252487</v>
      </c>
      <c r="F472">
        <v>-2.30084</v>
      </c>
      <c r="G472">
        <v>52.170259999999999</v>
      </c>
      <c r="H472">
        <v>22</v>
      </c>
      <c r="I472">
        <v>1</v>
      </c>
      <c r="J472" t="str">
        <f>VLOOKUP(I472, Lookups!$B$1:$C$4, 2, FALSE)</f>
        <v>Fatal</v>
      </c>
      <c r="K472">
        <v>2</v>
      </c>
      <c r="L472">
        <v>3</v>
      </c>
      <c r="M472" s="1">
        <v>45960</v>
      </c>
      <c r="N472">
        <v>5</v>
      </c>
      <c r="O472" t="str">
        <f>VLOOKUP(N472, Lookups!$B$6:$C$12, 2, FALSE)</f>
        <v>Thursday</v>
      </c>
      <c r="P472" s="2">
        <v>0.63888888888888884</v>
      </c>
      <c r="Q472">
        <v>-1</v>
      </c>
      <c r="R472" t="s">
        <v>49</v>
      </c>
      <c r="S472" t="s">
        <v>45</v>
      </c>
      <c r="T472" t="s">
        <v>45</v>
      </c>
      <c r="U472">
        <v>3</v>
      </c>
      <c r="V472" t="str">
        <f>VLOOKUP(U472, Lookups!$B$51:$C$57, 2, FALSE)</f>
        <v>A</v>
      </c>
      <c r="W472">
        <v>4103</v>
      </c>
      <c r="X472" t="str">
        <f t="shared" si="63"/>
        <v>A4103</v>
      </c>
      <c r="Y472">
        <v>6</v>
      </c>
      <c r="Z472" t="str">
        <f>VLOOKUP(Y472, Lookups!$B$14:$C$21, 2, FALSE)</f>
        <v>Single carriageway</v>
      </c>
      <c r="AA472">
        <v>40</v>
      </c>
      <c r="AB472">
        <v>-1</v>
      </c>
      <c r="AC472">
        <v>0</v>
      </c>
      <c r="AD472">
        <v>-1</v>
      </c>
      <c r="AE472">
        <v>0</v>
      </c>
      <c r="AF472">
        <v>-1</v>
      </c>
      <c r="AG472">
        <v>-1</v>
      </c>
      <c r="AH472">
        <v>-1</v>
      </c>
      <c r="AI472">
        <v>0</v>
      </c>
      <c r="AJ472">
        <v>1</v>
      </c>
      <c r="AK472" t="str">
        <f>VLOOKUP(AJ472, Lookups!$B$23:$C$28, 2, FALSE)</f>
        <v>Daylight</v>
      </c>
      <c r="AL472">
        <v>1</v>
      </c>
      <c r="AM472" t="str">
        <f>VLOOKUP(AL472, Lookups!$B$30:$C$39, 2, FALSE)</f>
        <v>Fine / Clear</v>
      </c>
      <c r="AN472">
        <v>1</v>
      </c>
      <c r="AO472" t="str">
        <f>VLOOKUP(AN472, Lookups!$B$41:$C$49, 2, FALSE)</f>
        <v>Dry</v>
      </c>
      <c r="AP472">
        <v>-1</v>
      </c>
      <c r="AQ472">
        <v>-1</v>
      </c>
      <c r="AR472">
        <v>0</v>
      </c>
      <c r="AS472">
        <v>2</v>
      </c>
      <c r="AT472">
        <v>1</v>
      </c>
      <c r="AU472">
        <v>2</v>
      </c>
      <c r="AV472" t="s">
        <v>233</v>
      </c>
      <c r="AW472">
        <v>1</v>
      </c>
      <c r="AX472">
        <v>1</v>
      </c>
      <c r="AY472">
        <v>0</v>
      </c>
      <c r="AZ472">
        <v>0</v>
      </c>
    </row>
    <row r="473" spans="1:52" x14ac:dyDescent="0.35">
      <c r="A473">
        <v>2025221672895</v>
      </c>
      <c r="B473">
        <v>2025</v>
      </c>
      <c r="C473">
        <v>221672895</v>
      </c>
      <c r="D473">
        <v>388241</v>
      </c>
      <c r="E473">
        <v>266432</v>
      </c>
      <c r="F473">
        <v>-2.1738400000000002</v>
      </c>
      <c r="G473">
        <v>52.29589</v>
      </c>
      <c r="H473">
        <v>22</v>
      </c>
      <c r="I473">
        <v>2</v>
      </c>
      <c r="J473" t="str">
        <f>VLOOKUP(I473, Lookups!$B$1:$C$4, 2, FALSE)</f>
        <v>Serious</v>
      </c>
      <c r="K473">
        <v>1</v>
      </c>
      <c r="L473">
        <v>1</v>
      </c>
      <c r="M473" s="1">
        <v>45983</v>
      </c>
      <c r="N473">
        <v>7</v>
      </c>
      <c r="O473" t="str">
        <f>VLOOKUP(N473, Lookups!$B$6:$C$12, 2, FALSE)</f>
        <v>Saturday</v>
      </c>
      <c r="P473" s="2">
        <v>1.3194444444444444E-2</v>
      </c>
      <c r="Q473">
        <v>-1</v>
      </c>
      <c r="R473" t="s">
        <v>54</v>
      </c>
      <c r="S473" t="s">
        <v>45</v>
      </c>
      <c r="T473" t="s">
        <v>45</v>
      </c>
      <c r="U473">
        <v>3</v>
      </c>
      <c r="V473" t="str">
        <f>VLOOKUP(U473, Lookups!$B$51:$C$57, 2, FALSE)</f>
        <v>A</v>
      </c>
      <c r="W473">
        <v>442</v>
      </c>
      <c r="X473" t="str">
        <f t="shared" si="63"/>
        <v>A442</v>
      </c>
      <c r="Y473">
        <v>6</v>
      </c>
      <c r="Z473" t="str">
        <f>VLOOKUP(Y473, Lookups!$B$14:$C$21, 2, FALSE)</f>
        <v>Single carriageway</v>
      </c>
      <c r="AA473">
        <v>50</v>
      </c>
      <c r="AB473">
        <v>-1</v>
      </c>
      <c r="AC473">
        <v>0</v>
      </c>
      <c r="AD473">
        <v>-1</v>
      </c>
      <c r="AE473">
        <v>0</v>
      </c>
      <c r="AF473">
        <v>-1</v>
      </c>
      <c r="AG473">
        <v>-1</v>
      </c>
      <c r="AH473">
        <v>-1</v>
      </c>
      <c r="AI473">
        <v>0</v>
      </c>
      <c r="AJ473">
        <v>6</v>
      </c>
      <c r="AK473" t="str">
        <f>VLOOKUP(AJ473, Lookups!$B$23:$C$28, 2, FALSE)</f>
        <v>Darkness (Unlit)</v>
      </c>
      <c r="AL473">
        <v>1</v>
      </c>
      <c r="AM473" t="str">
        <f>VLOOKUP(AL473, Lookups!$B$30:$C$39, 2, FALSE)</f>
        <v>Fine / Clear</v>
      </c>
      <c r="AN473">
        <v>1</v>
      </c>
      <c r="AO473" t="str">
        <f>VLOOKUP(AN473, Lookups!$B$41:$C$49, 2, FALSE)</f>
        <v>Dry</v>
      </c>
      <c r="AP473">
        <v>-1</v>
      </c>
      <c r="AQ473">
        <v>-1</v>
      </c>
      <c r="AR473">
        <v>0</v>
      </c>
      <c r="AS473">
        <v>2</v>
      </c>
      <c r="AT473">
        <v>1</v>
      </c>
      <c r="AU473">
        <v>2</v>
      </c>
      <c r="AV473" t="s">
        <v>264</v>
      </c>
      <c r="AW473">
        <v>7</v>
      </c>
      <c r="AX473">
        <v>1</v>
      </c>
      <c r="AY473">
        <v>1</v>
      </c>
      <c r="AZ473">
        <v>0</v>
      </c>
    </row>
    <row r="474" spans="1:52" x14ac:dyDescent="0.35">
      <c r="A474">
        <v>2025221541135</v>
      </c>
      <c r="B474">
        <v>2025</v>
      </c>
      <c r="C474">
        <v>221541135</v>
      </c>
      <c r="D474">
        <v>386254</v>
      </c>
      <c r="E474">
        <v>252210</v>
      </c>
      <c r="F474">
        <v>-2.2023999999999999</v>
      </c>
      <c r="G474">
        <v>52.16798</v>
      </c>
      <c r="H474">
        <v>22</v>
      </c>
      <c r="I474">
        <v>2</v>
      </c>
      <c r="J474" t="str">
        <f>VLOOKUP(I474, Lookups!$B$1:$C$4, 2, FALSE)</f>
        <v>Serious</v>
      </c>
      <c r="K474">
        <v>1</v>
      </c>
      <c r="L474">
        <v>2</v>
      </c>
      <c r="M474" s="1">
        <v>45671</v>
      </c>
      <c r="N474">
        <v>3</v>
      </c>
      <c r="O474" t="str">
        <f>VLOOKUP(N474, Lookups!$B$6:$C$12, 2, FALSE)</f>
        <v>Tuesday</v>
      </c>
      <c r="P474" s="2">
        <v>9.0277777777777776E-2</v>
      </c>
      <c r="Q474">
        <v>-1</v>
      </c>
      <c r="R474" t="s">
        <v>60</v>
      </c>
      <c r="S474" t="s">
        <v>45</v>
      </c>
      <c r="T474" t="s">
        <v>45</v>
      </c>
      <c r="U474">
        <v>3</v>
      </c>
      <c r="V474" t="str">
        <f>VLOOKUP(U474, Lookups!$B$51:$C$57, 2, FALSE)</f>
        <v>A</v>
      </c>
      <c r="W474">
        <v>4440</v>
      </c>
      <c r="X474" t="str">
        <f t="shared" si="63"/>
        <v>A4440</v>
      </c>
      <c r="Y474">
        <v>3</v>
      </c>
      <c r="Z474" t="str">
        <f>VLOOKUP(Y474, Lookups!$B$14:$C$21, 2, FALSE)</f>
        <v>Dual carriageway</v>
      </c>
      <c r="AA474">
        <v>60</v>
      </c>
      <c r="AB474">
        <v>-1</v>
      </c>
      <c r="AC474">
        <v>-1</v>
      </c>
      <c r="AD474">
        <v>4</v>
      </c>
      <c r="AE474">
        <v>3</v>
      </c>
      <c r="AF474">
        <v>4440</v>
      </c>
      <c r="AG474">
        <v>-1</v>
      </c>
      <c r="AH474">
        <v>-1</v>
      </c>
      <c r="AI474">
        <v>0</v>
      </c>
      <c r="AJ474">
        <v>4</v>
      </c>
      <c r="AK474" t="str">
        <f>VLOOKUP(AJ474, Lookups!$B$23:$C$28, 2, FALSE)</f>
        <v>Darkness (Lit)</v>
      </c>
      <c r="AL474">
        <v>1</v>
      </c>
      <c r="AM474" t="str">
        <f>VLOOKUP(AL474, Lookups!$B$30:$C$39, 2, FALSE)</f>
        <v>Fine / Clear</v>
      </c>
      <c r="AN474">
        <v>4</v>
      </c>
      <c r="AO474" t="str">
        <f>VLOOKUP(AN474, Lookups!$B$41:$C$49, 2, FALSE)</f>
        <v>Frost or ice</v>
      </c>
      <c r="AP474">
        <v>-1</v>
      </c>
      <c r="AQ474">
        <v>-1</v>
      </c>
      <c r="AR474">
        <v>0</v>
      </c>
      <c r="AS474">
        <v>1</v>
      </c>
      <c r="AT474">
        <v>1</v>
      </c>
      <c r="AU474">
        <v>2</v>
      </c>
      <c r="AV474" t="s">
        <v>274</v>
      </c>
      <c r="AW474">
        <v>7</v>
      </c>
      <c r="AX474">
        <v>1</v>
      </c>
      <c r="AY474">
        <v>1</v>
      </c>
      <c r="AZ474">
        <v>0</v>
      </c>
    </row>
    <row r="475" spans="1:52" x14ac:dyDescent="0.35">
      <c r="A475">
        <v>2025221571688</v>
      </c>
      <c r="B475">
        <v>2025</v>
      </c>
      <c r="C475">
        <v>221571688</v>
      </c>
      <c r="D475">
        <v>382969</v>
      </c>
      <c r="E475">
        <v>276811</v>
      </c>
      <c r="F475">
        <v>-2.2516799999999999</v>
      </c>
      <c r="G475">
        <v>52.389060000000001</v>
      </c>
      <c r="H475">
        <v>22</v>
      </c>
      <c r="I475">
        <v>3</v>
      </c>
      <c r="J475" t="str">
        <f>VLOOKUP(I475, Lookups!$B$1:$C$4, 2, FALSE)</f>
        <v>Slight</v>
      </c>
      <c r="K475">
        <v>2</v>
      </c>
      <c r="L475">
        <v>1</v>
      </c>
      <c r="M475" s="1">
        <v>45728</v>
      </c>
      <c r="N475">
        <v>4</v>
      </c>
      <c r="O475" t="str">
        <f>VLOOKUP(N475, Lookups!$B$6:$C$12, 2, FALSE)</f>
        <v>Wednesday</v>
      </c>
      <c r="P475" s="2">
        <v>0.4861111111111111</v>
      </c>
      <c r="Q475">
        <v>-1</v>
      </c>
      <c r="R475" t="s">
        <v>44</v>
      </c>
      <c r="S475" t="s">
        <v>45</v>
      </c>
      <c r="T475" t="s">
        <v>45</v>
      </c>
      <c r="U475">
        <v>3</v>
      </c>
      <c r="V475" t="str">
        <f>VLOOKUP(U475, Lookups!$B$51:$C$57, 2, FALSE)</f>
        <v>A</v>
      </c>
      <c r="W475">
        <v>456</v>
      </c>
      <c r="X475" t="str">
        <f t="shared" si="63"/>
        <v>A456</v>
      </c>
      <c r="Y475">
        <v>3</v>
      </c>
      <c r="Z475" t="str">
        <f>VLOOKUP(Y475, Lookups!$B$14:$C$21, 2, FALSE)</f>
        <v>Dual carriageway</v>
      </c>
      <c r="AA475">
        <v>30</v>
      </c>
      <c r="AB475">
        <v>-1</v>
      </c>
      <c r="AC475">
        <v>0</v>
      </c>
      <c r="AD475">
        <v>-1</v>
      </c>
      <c r="AE475">
        <v>6</v>
      </c>
      <c r="AF475">
        <v>0</v>
      </c>
      <c r="AG475">
        <v>-1</v>
      </c>
      <c r="AH475">
        <v>-1</v>
      </c>
      <c r="AI475">
        <v>0</v>
      </c>
      <c r="AJ475">
        <v>1</v>
      </c>
      <c r="AK475" t="str">
        <f>VLOOKUP(AJ475, Lookups!$B$23:$C$28, 2, FALSE)</f>
        <v>Daylight</v>
      </c>
      <c r="AL475">
        <v>1</v>
      </c>
      <c r="AM475" t="str">
        <f>VLOOKUP(AL475, Lookups!$B$30:$C$39, 2, FALSE)</f>
        <v>Fine / Clear</v>
      </c>
      <c r="AN475">
        <v>1</v>
      </c>
      <c r="AO475" t="str">
        <f>VLOOKUP(AN475, Lookups!$B$41:$C$49, 2, FALSE)</f>
        <v>Dry</v>
      </c>
      <c r="AP475">
        <v>-1</v>
      </c>
      <c r="AQ475">
        <v>-1</v>
      </c>
      <c r="AR475">
        <v>0</v>
      </c>
      <c r="AS475">
        <v>1</v>
      </c>
      <c r="AT475">
        <v>1</v>
      </c>
      <c r="AU475">
        <v>2</v>
      </c>
      <c r="AV475" t="s">
        <v>275</v>
      </c>
      <c r="AW475">
        <v>3</v>
      </c>
      <c r="AX475">
        <v>1</v>
      </c>
      <c r="AY475">
        <v>0</v>
      </c>
      <c r="AZ475">
        <v>1</v>
      </c>
    </row>
    <row r="476" spans="1:52" x14ac:dyDescent="0.35">
      <c r="A476">
        <v>2025221589416</v>
      </c>
      <c r="B476">
        <v>2025</v>
      </c>
      <c r="C476">
        <v>221589416</v>
      </c>
      <c r="D476">
        <v>388326</v>
      </c>
      <c r="E476">
        <v>275988</v>
      </c>
      <c r="F476">
        <v>-2.17293</v>
      </c>
      <c r="G476">
        <v>52.381799999999998</v>
      </c>
      <c r="H476">
        <v>22</v>
      </c>
      <c r="I476">
        <v>3</v>
      </c>
      <c r="J476" t="str">
        <f>VLOOKUP(I476, Lookups!$B$1:$C$4, 2, FALSE)</f>
        <v>Slight</v>
      </c>
      <c r="K476">
        <v>2</v>
      </c>
      <c r="L476">
        <v>2</v>
      </c>
      <c r="M476" s="1">
        <v>45790</v>
      </c>
      <c r="N476">
        <v>3</v>
      </c>
      <c r="O476" t="str">
        <f>VLOOKUP(N476, Lookups!$B$6:$C$12, 2, FALSE)</f>
        <v>Tuesday</v>
      </c>
      <c r="P476" s="2">
        <v>0.39583333333333331</v>
      </c>
      <c r="Q476">
        <v>-1</v>
      </c>
      <c r="R476" t="s">
        <v>44</v>
      </c>
      <c r="S476" t="s">
        <v>45</v>
      </c>
      <c r="T476" t="s">
        <v>45</v>
      </c>
      <c r="U476">
        <v>3</v>
      </c>
      <c r="V476" t="str">
        <f>VLOOKUP(U476, Lookups!$B$51:$C$57, 2, FALSE)</f>
        <v>A</v>
      </c>
      <c r="W476">
        <v>450</v>
      </c>
      <c r="X476" t="str">
        <f t="shared" si="63"/>
        <v>A450</v>
      </c>
      <c r="Y476">
        <v>6</v>
      </c>
      <c r="Z476" t="str">
        <f>VLOOKUP(Y476, Lookups!$B$14:$C$21, 2, FALSE)</f>
        <v>Single carriageway</v>
      </c>
      <c r="AA476">
        <v>60</v>
      </c>
      <c r="AB476">
        <v>-1</v>
      </c>
      <c r="AC476">
        <v>16</v>
      </c>
      <c r="AD476">
        <v>4</v>
      </c>
      <c r="AE476">
        <v>6</v>
      </c>
      <c r="AF476">
        <v>0</v>
      </c>
      <c r="AG476">
        <v>-1</v>
      </c>
      <c r="AH476">
        <v>-1</v>
      </c>
      <c r="AI476">
        <v>0</v>
      </c>
      <c r="AJ476">
        <v>1</v>
      </c>
      <c r="AK476" t="str">
        <f>VLOOKUP(AJ476, Lookups!$B$23:$C$28, 2, FALSE)</f>
        <v>Daylight</v>
      </c>
      <c r="AL476">
        <v>1</v>
      </c>
      <c r="AM476" t="str">
        <f>VLOOKUP(AL476, Lookups!$B$30:$C$39, 2, FALSE)</f>
        <v>Fine / Clear</v>
      </c>
      <c r="AN476">
        <v>1</v>
      </c>
      <c r="AO476" t="str">
        <f>VLOOKUP(AN476, Lookups!$B$41:$C$49, 2, FALSE)</f>
        <v>Dry</v>
      </c>
      <c r="AP476">
        <v>-1</v>
      </c>
      <c r="AQ476">
        <v>-1</v>
      </c>
      <c r="AR476">
        <v>0</v>
      </c>
      <c r="AS476">
        <v>2</v>
      </c>
      <c r="AT476">
        <v>1</v>
      </c>
      <c r="AU476">
        <v>2</v>
      </c>
      <c r="AV476" t="s">
        <v>229</v>
      </c>
      <c r="AW476">
        <v>3</v>
      </c>
      <c r="AX476">
        <v>1</v>
      </c>
      <c r="AY476">
        <v>0</v>
      </c>
      <c r="AZ476">
        <v>1</v>
      </c>
    </row>
    <row r="477" spans="1:52" x14ac:dyDescent="0.35">
      <c r="A477">
        <v>2025221616705</v>
      </c>
      <c r="B477">
        <v>2025</v>
      </c>
      <c r="C477">
        <v>221616705</v>
      </c>
      <c r="D477">
        <v>401380</v>
      </c>
      <c r="E477">
        <v>273080</v>
      </c>
      <c r="F477">
        <v>-1.98116</v>
      </c>
      <c r="G477">
        <v>52.355780000000003</v>
      </c>
      <c r="H477">
        <v>22</v>
      </c>
      <c r="I477">
        <v>3</v>
      </c>
      <c r="J477" t="str">
        <f>VLOOKUP(I477, Lookups!$B$1:$C$4, 2, FALSE)</f>
        <v>Slight</v>
      </c>
      <c r="K477">
        <v>2</v>
      </c>
      <c r="L477">
        <v>1</v>
      </c>
      <c r="M477" s="1">
        <v>45854</v>
      </c>
      <c r="N477">
        <v>4</v>
      </c>
      <c r="O477" t="str">
        <f>VLOOKUP(N477, Lookups!$B$6:$C$12, 2, FALSE)</f>
        <v>Wednesday</v>
      </c>
      <c r="P477" s="2">
        <v>0.34027777777777779</v>
      </c>
      <c r="Q477">
        <v>-1</v>
      </c>
      <c r="R477" t="s">
        <v>47</v>
      </c>
      <c r="S477" t="s">
        <v>45</v>
      </c>
      <c r="T477" t="s">
        <v>45</v>
      </c>
      <c r="U477">
        <v>1</v>
      </c>
      <c r="V477" t="str">
        <f>VLOOKUP(U477, Lookups!$B$51:$C$57, 2, FALSE)</f>
        <v>M</v>
      </c>
      <c r="W477">
        <v>42</v>
      </c>
      <c r="X477" t="str">
        <f t="shared" si="63"/>
        <v>M42</v>
      </c>
      <c r="Y477">
        <v>3</v>
      </c>
      <c r="Z477" t="str">
        <f>VLOOKUP(Y477, Lookups!$B$14:$C$21, 2, FALSE)</f>
        <v>Dual carriageway</v>
      </c>
      <c r="AA477">
        <v>70</v>
      </c>
      <c r="AB477">
        <v>-1</v>
      </c>
      <c r="AC477">
        <v>0</v>
      </c>
      <c r="AD477">
        <v>-1</v>
      </c>
      <c r="AE477">
        <v>0</v>
      </c>
      <c r="AF477">
        <v>-1</v>
      </c>
      <c r="AG477">
        <v>-1</v>
      </c>
      <c r="AH477">
        <v>-1</v>
      </c>
      <c r="AI477">
        <v>0</v>
      </c>
      <c r="AJ477">
        <v>1</v>
      </c>
      <c r="AK477" t="str">
        <f>VLOOKUP(AJ477, Lookups!$B$23:$C$28, 2, FALSE)</f>
        <v>Daylight</v>
      </c>
      <c r="AL477">
        <v>1</v>
      </c>
      <c r="AM477" t="str">
        <f>VLOOKUP(AL477, Lookups!$B$30:$C$39, 2, FALSE)</f>
        <v>Fine / Clear</v>
      </c>
      <c r="AN477">
        <v>1</v>
      </c>
      <c r="AO477" t="str">
        <f>VLOOKUP(AN477, Lookups!$B$41:$C$49, 2, FALSE)</f>
        <v>Dry</v>
      </c>
      <c r="AP477">
        <v>-1</v>
      </c>
      <c r="AQ477">
        <v>-1</v>
      </c>
      <c r="AR477">
        <v>0</v>
      </c>
      <c r="AS477">
        <v>2</v>
      </c>
      <c r="AT477">
        <v>3</v>
      </c>
      <c r="AU477">
        <v>1</v>
      </c>
      <c r="AV477" t="s">
        <v>276</v>
      </c>
      <c r="AW477">
        <v>3</v>
      </c>
      <c r="AX477">
        <v>1</v>
      </c>
      <c r="AY477">
        <v>0</v>
      </c>
      <c r="AZ477">
        <v>1</v>
      </c>
    </row>
    <row r="478" spans="1:52" x14ac:dyDescent="0.35">
      <c r="A478">
        <v>2025221685905</v>
      </c>
      <c r="B478">
        <v>2025</v>
      </c>
      <c r="C478">
        <v>221685905</v>
      </c>
      <c r="D478">
        <v>398216</v>
      </c>
      <c r="E478">
        <v>264392</v>
      </c>
      <c r="F478">
        <v>-2.0275699999999999</v>
      </c>
      <c r="G478">
        <v>52.277670000000001</v>
      </c>
      <c r="H478">
        <v>22</v>
      </c>
      <c r="I478">
        <v>2</v>
      </c>
      <c r="J478" t="str">
        <f>VLOOKUP(I478, Lookups!$B$1:$C$4, 2, FALSE)</f>
        <v>Serious</v>
      </c>
      <c r="K478">
        <v>2</v>
      </c>
      <c r="L478">
        <v>4</v>
      </c>
      <c r="M478" s="1">
        <v>46011</v>
      </c>
      <c r="N478">
        <v>7</v>
      </c>
      <c r="O478" t="str">
        <f>VLOOKUP(N478, Lookups!$B$6:$C$12, 2, FALSE)</f>
        <v>Saturday</v>
      </c>
      <c r="P478" s="2">
        <v>0.47013888888888888</v>
      </c>
      <c r="Q478">
        <v>-1</v>
      </c>
      <c r="R478" t="s">
        <v>54</v>
      </c>
      <c r="S478" t="s">
        <v>45</v>
      </c>
      <c r="T478" t="s">
        <v>45</v>
      </c>
      <c r="U478">
        <v>6</v>
      </c>
      <c r="V478" t="str">
        <f>VLOOKUP(U478, Lookups!$B$51:$C$57, 2, FALSE)</f>
        <v>Unclassified</v>
      </c>
      <c r="W478">
        <v>0</v>
      </c>
      <c r="X478" t="s">
        <v>362</v>
      </c>
      <c r="Y478">
        <v>6</v>
      </c>
      <c r="Z478" t="str">
        <f>VLOOKUP(Y478, Lookups!$B$14:$C$21, 2, FALSE)</f>
        <v>Single carriageway</v>
      </c>
      <c r="AA478">
        <v>60</v>
      </c>
      <c r="AB478">
        <v>-1</v>
      </c>
      <c r="AC478">
        <v>16</v>
      </c>
      <c r="AD478">
        <v>4</v>
      </c>
      <c r="AE478">
        <v>6</v>
      </c>
      <c r="AF478">
        <v>0</v>
      </c>
      <c r="AG478">
        <v>-1</v>
      </c>
      <c r="AH478">
        <v>-1</v>
      </c>
      <c r="AI478">
        <v>0</v>
      </c>
      <c r="AJ478">
        <v>1</v>
      </c>
      <c r="AK478" t="str">
        <f>VLOOKUP(AJ478, Lookups!$B$23:$C$28, 2, FALSE)</f>
        <v>Daylight</v>
      </c>
      <c r="AL478">
        <v>1</v>
      </c>
      <c r="AM478" t="str">
        <f>VLOOKUP(AL478, Lookups!$B$30:$C$39, 2, FALSE)</f>
        <v>Fine / Clear</v>
      </c>
      <c r="AN478">
        <v>1</v>
      </c>
      <c r="AO478" t="str">
        <f>VLOOKUP(AN478, Lookups!$B$41:$C$49, 2, FALSE)</f>
        <v>Dry</v>
      </c>
      <c r="AP478">
        <v>-1</v>
      </c>
      <c r="AQ478">
        <v>-1</v>
      </c>
      <c r="AR478">
        <v>0</v>
      </c>
      <c r="AS478">
        <v>2</v>
      </c>
      <c r="AT478">
        <v>1</v>
      </c>
      <c r="AU478">
        <v>2</v>
      </c>
      <c r="AV478" t="s">
        <v>257</v>
      </c>
      <c r="AW478">
        <v>7</v>
      </c>
      <c r="AX478">
        <v>1</v>
      </c>
      <c r="AY478">
        <v>1</v>
      </c>
      <c r="AZ478">
        <v>0</v>
      </c>
    </row>
    <row r="479" spans="1:52" x14ac:dyDescent="0.35">
      <c r="A479">
        <v>2025221622617</v>
      </c>
      <c r="B479">
        <v>2025</v>
      </c>
      <c r="C479">
        <v>221622617</v>
      </c>
      <c r="D479">
        <v>389821</v>
      </c>
      <c r="E479">
        <v>279364</v>
      </c>
      <c r="F479">
        <v>-2.1510699999999998</v>
      </c>
      <c r="G479">
        <v>52.412179999999999</v>
      </c>
      <c r="H479">
        <v>22</v>
      </c>
      <c r="I479">
        <v>3</v>
      </c>
      <c r="J479" t="str">
        <f>VLOOKUP(I479, Lookups!$B$1:$C$4, 2, FALSE)</f>
        <v>Slight</v>
      </c>
      <c r="K479">
        <v>3</v>
      </c>
      <c r="L479">
        <v>2</v>
      </c>
      <c r="M479" s="1">
        <v>45868</v>
      </c>
      <c r="N479">
        <v>4</v>
      </c>
      <c r="O479" t="str">
        <f>VLOOKUP(N479, Lookups!$B$6:$C$12, 2, FALSE)</f>
        <v>Wednesday</v>
      </c>
      <c r="P479" s="2">
        <v>0.55069444444444449</v>
      </c>
      <c r="Q479">
        <v>-1</v>
      </c>
      <c r="R479" t="s">
        <v>47</v>
      </c>
      <c r="S479" t="s">
        <v>45</v>
      </c>
      <c r="T479" t="s">
        <v>45</v>
      </c>
      <c r="U479">
        <v>3</v>
      </c>
      <c r="V479" t="str">
        <f>VLOOKUP(U479, Lookups!$B$51:$C$57, 2, FALSE)</f>
        <v>A</v>
      </c>
      <c r="W479">
        <v>450</v>
      </c>
      <c r="X479" t="str">
        <f>V479&amp;W479</f>
        <v>A450</v>
      </c>
      <c r="Y479">
        <v>6</v>
      </c>
      <c r="Z479" t="str">
        <f>VLOOKUP(Y479, Lookups!$B$14:$C$21, 2, FALSE)</f>
        <v>Single carriageway</v>
      </c>
      <c r="AA479">
        <v>60</v>
      </c>
      <c r="AB479">
        <v>-1</v>
      </c>
      <c r="AC479">
        <v>16</v>
      </c>
      <c r="AD479">
        <v>4</v>
      </c>
      <c r="AE479">
        <v>6</v>
      </c>
      <c r="AF479">
        <v>0</v>
      </c>
      <c r="AG479">
        <v>-1</v>
      </c>
      <c r="AH479">
        <v>-1</v>
      </c>
      <c r="AI479">
        <v>0</v>
      </c>
      <c r="AJ479">
        <v>1</v>
      </c>
      <c r="AK479" t="str">
        <f>VLOOKUP(AJ479, Lookups!$B$23:$C$28, 2, FALSE)</f>
        <v>Daylight</v>
      </c>
      <c r="AL479">
        <v>1</v>
      </c>
      <c r="AM479" t="str">
        <f>VLOOKUP(AL479, Lookups!$B$30:$C$39, 2, FALSE)</f>
        <v>Fine / Clear</v>
      </c>
      <c r="AN479">
        <v>1</v>
      </c>
      <c r="AO479" t="str">
        <f>VLOOKUP(AN479, Lookups!$B$41:$C$49, 2, FALSE)</f>
        <v>Dry</v>
      </c>
      <c r="AP479">
        <v>-1</v>
      </c>
      <c r="AQ479">
        <v>-1</v>
      </c>
      <c r="AR479">
        <v>0</v>
      </c>
      <c r="AS479">
        <v>2</v>
      </c>
      <c r="AT479">
        <v>1</v>
      </c>
      <c r="AU479">
        <v>2</v>
      </c>
      <c r="AV479" t="s">
        <v>185</v>
      </c>
      <c r="AW479">
        <v>3</v>
      </c>
      <c r="AX479">
        <v>1</v>
      </c>
      <c r="AY479">
        <v>0</v>
      </c>
      <c r="AZ479">
        <v>1</v>
      </c>
    </row>
    <row r="480" spans="1:52" x14ac:dyDescent="0.35">
      <c r="A480">
        <v>2025221689787</v>
      </c>
      <c r="B480">
        <v>2025</v>
      </c>
      <c r="C480">
        <v>221689787</v>
      </c>
      <c r="D480">
        <v>387165</v>
      </c>
      <c r="E480">
        <v>256060</v>
      </c>
      <c r="F480">
        <v>-2.1892200000000002</v>
      </c>
      <c r="G480">
        <v>52.202620000000003</v>
      </c>
      <c r="H480">
        <v>22</v>
      </c>
      <c r="I480">
        <v>2</v>
      </c>
      <c r="J480" t="str">
        <f>VLOOKUP(I480, Lookups!$B$1:$C$4, 2, FALSE)</f>
        <v>Serious</v>
      </c>
      <c r="K480">
        <v>3</v>
      </c>
      <c r="L480">
        <v>2</v>
      </c>
      <c r="M480" s="1">
        <v>46022</v>
      </c>
      <c r="N480">
        <v>4</v>
      </c>
      <c r="O480" t="str">
        <f>VLOOKUP(N480, Lookups!$B$6:$C$12, 2, FALSE)</f>
        <v>Wednesday</v>
      </c>
      <c r="P480" s="2">
        <v>0.51736111111111116</v>
      </c>
      <c r="Q480">
        <v>-1</v>
      </c>
      <c r="R480" t="s">
        <v>60</v>
      </c>
      <c r="S480" t="s">
        <v>45</v>
      </c>
      <c r="T480" t="s">
        <v>45</v>
      </c>
      <c r="U480">
        <v>6</v>
      </c>
      <c r="V480" t="str">
        <f>VLOOKUP(U480, Lookups!$B$51:$C$57, 2, FALSE)</f>
        <v>Unclassified</v>
      </c>
      <c r="W480">
        <v>0</v>
      </c>
      <c r="X480" t="s">
        <v>362</v>
      </c>
      <c r="Y480">
        <v>6</v>
      </c>
      <c r="Z480" t="str">
        <f>VLOOKUP(Y480, Lookups!$B$14:$C$21, 2, FALSE)</f>
        <v>Single carriageway</v>
      </c>
      <c r="AA480">
        <v>30</v>
      </c>
      <c r="AB480">
        <v>-1</v>
      </c>
      <c r="AC480">
        <v>13</v>
      </c>
      <c r="AD480">
        <v>4</v>
      </c>
      <c r="AE480">
        <v>6</v>
      </c>
      <c r="AF480">
        <v>0</v>
      </c>
      <c r="AG480">
        <v>-1</v>
      </c>
      <c r="AH480">
        <v>-1</v>
      </c>
      <c r="AI480">
        <v>0</v>
      </c>
      <c r="AJ480">
        <v>1</v>
      </c>
      <c r="AK480" t="str">
        <f>VLOOKUP(AJ480, Lookups!$B$23:$C$28, 2, FALSE)</f>
        <v>Daylight</v>
      </c>
      <c r="AL480">
        <v>1</v>
      </c>
      <c r="AM480" t="str">
        <f>VLOOKUP(AL480, Lookups!$B$30:$C$39, 2, FALSE)</f>
        <v>Fine / Clear</v>
      </c>
      <c r="AN480">
        <v>2</v>
      </c>
      <c r="AO480" t="str">
        <f>VLOOKUP(AN480, Lookups!$B$41:$C$49, 2, FALSE)</f>
        <v>Wet / damp</v>
      </c>
      <c r="AP480">
        <v>-1</v>
      </c>
      <c r="AQ480">
        <v>-1</v>
      </c>
      <c r="AR480">
        <v>0</v>
      </c>
      <c r="AS480">
        <v>1</v>
      </c>
      <c r="AT480">
        <v>1</v>
      </c>
      <c r="AU480">
        <v>2</v>
      </c>
      <c r="AV480" t="s">
        <v>95</v>
      </c>
      <c r="AW480">
        <v>7</v>
      </c>
      <c r="AX480">
        <v>1</v>
      </c>
      <c r="AY480">
        <v>1</v>
      </c>
      <c r="AZ480">
        <v>0</v>
      </c>
    </row>
    <row r="481" spans="1:52" x14ac:dyDescent="0.35">
      <c r="A481">
        <v>2025221544953</v>
      </c>
      <c r="B481">
        <v>2025</v>
      </c>
      <c r="C481">
        <v>221544953</v>
      </c>
      <c r="D481">
        <v>401969</v>
      </c>
      <c r="E481">
        <v>238806</v>
      </c>
      <c r="F481">
        <v>-1.9726999999999999</v>
      </c>
      <c r="G481">
        <v>52.047640000000001</v>
      </c>
      <c r="H481">
        <v>22</v>
      </c>
      <c r="I481">
        <v>3</v>
      </c>
      <c r="J481" t="str">
        <f>VLOOKUP(I481, Lookups!$B$1:$C$4, 2, FALSE)</f>
        <v>Slight</v>
      </c>
      <c r="K481">
        <v>2</v>
      </c>
      <c r="L481">
        <v>2</v>
      </c>
      <c r="M481" s="1">
        <v>45678</v>
      </c>
      <c r="N481">
        <v>3</v>
      </c>
      <c r="O481" t="str">
        <f>VLOOKUP(N481, Lookups!$B$6:$C$12, 2, FALSE)</f>
        <v>Tuesday</v>
      </c>
      <c r="P481" s="2">
        <v>0.30555555555555558</v>
      </c>
      <c r="Q481">
        <v>-1</v>
      </c>
      <c r="R481" t="s">
        <v>54</v>
      </c>
      <c r="S481" t="s">
        <v>45</v>
      </c>
      <c r="T481" t="s">
        <v>45</v>
      </c>
      <c r="U481">
        <v>3</v>
      </c>
      <c r="V481" t="str">
        <f>VLOOKUP(U481, Lookups!$B$51:$C$57, 2, FALSE)</f>
        <v>A</v>
      </c>
      <c r="W481">
        <v>46</v>
      </c>
      <c r="X481" t="str">
        <f>V481&amp;W481</f>
        <v>A46</v>
      </c>
      <c r="Y481">
        <v>6</v>
      </c>
      <c r="Z481" t="str">
        <f>VLOOKUP(Y481, Lookups!$B$14:$C$21, 2, FALSE)</f>
        <v>Single carriageway</v>
      </c>
      <c r="AA481">
        <v>60</v>
      </c>
      <c r="AB481">
        <v>-1</v>
      </c>
      <c r="AC481">
        <v>0</v>
      </c>
      <c r="AD481">
        <v>-1</v>
      </c>
      <c r="AE481">
        <v>0</v>
      </c>
      <c r="AF481">
        <v>-1</v>
      </c>
      <c r="AG481">
        <v>-1</v>
      </c>
      <c r="AH481">
        <v>-1</v>
      </c>
      <c r="AI481">
        <v>0</v>
      </c>
      <c r="AJ481">
        <v>1</v>
      </c>
      <c r="AK481" t="str">
        <f>VLOOKUP(AJ481, Lookups!$B$23:$C$28, 2, FALSE)</f>
        <v>Daylight</v>
      </c>
      <c r="AL481">
        <v>1</v>
      </c>
      <c r="AM481" t="str">
        <f>VLOOKUP(AL481, Lookups!$B$30:$C$39, 2, FALSE)</f>
        <v>Fine / Clear</v>
      </c>
      <c r="AN481">
        <v>2</v>
      </c>
      <c r="AO481" t="str">
        <f>VLOOKUP(AN481, Lookups!$B$41:$C$49, 2, FALSE)</f>
        <v>Wet / damp</v>
      </c>
      <c r="AP481">
        <v>-1</v>
      </c>
      <c r="AQ481">
        <v>-1</v>
      </c>
      <c r="AR481">
        <v>0</v>
      </c>
      <c r="AS481">
        <v>2</v>
      </c>
      <c r="AT481">
        <v>1</v>
      </c>
      <c r="AU481">
        <v>1</v>
      </c>
      <c r="AV481" t="s">
        <v>134</v>
      </c>
      <c r="AW481">
        <v>3</v>
      </c>
      <c r="AX481">
        <v>1</v>
      </c>
      <c r="AY481">
        <v>0</v>
      </c>
      <c r="AZ481">
        <v>1</v>
      </c>
    </row>
    <row r="482" spans="1:52" x14ac:dyDescent="0.35">
      <c r="A482">
        <v>2025221637311</v>
      </c>
      <c r="B482">
        <v>2025</v>
      </c>
      <c r="C482">
        <v>221637311</v>
      </c>
      <c r="D482">
        <v>393652</v>
      </c>
      <c r="E482">
        <v>280084</v>
      </c>
      <c r="F482">
        <v>-2.09477</v>
      </c>
      <c r="G482">
        <v>52.418709999999997</v>
      </c>
      <c r="H482">
        <v>22</v>
      </c>
      <c r="I482">
        <v>2</v>
      </c>
      <c r="J482" t="str">
        <f>VLOOKUP(I482, Lookups!$B$1:$C$4, 2, FALSE)</f>
        <v>Serious</v>
      </c>
      <c r="K482">
        <v>1</v>
      </c>
      <c r="L482">
        <v>3</v>
      </c>
      <c r="M482" s="1">
        <v>45886</v>
      </c>
      <c r="N482">
        <v>1</v>
      </c>
      <c r="O482" t="str">
        <f>VLOOKUP(N482, Lookups!$B$6:$C$12, 2, FALSE)</f>
        <v>Sunday</v>
      </c>
      <c r="P482" s="2">
        <v>9.6527777777777782E-2</v>
      </c>
      <c r="Q482">
        <v>-1</v>
      </c>
      <c r="R482" t="s">
        <v>47</v>
      </c>
      <c r="S482" t="s">
        <v>45</v>
      </c>
      <c r="T482" t="s">
        <v>45</v>
      </c>
      <c r="U482">
        <v>6</v>
      </c>
      <c r="V482" t="str">
        <f>VLOOKUP(U482, Lookups!$B$51:$C$57, 2, FALSE)</f>
        <v>Unclassified</v>
      </c>
      <c r="W482">
        <v>0</v>
      </c>
      <c r="X482" t="s">
        <v>362</v>
      </c>
      <c r="Y482">
        <v>6</v>
      </c>
      <c r="Z482" t="str">
        <f>VLOOKUP(Y482, Lookups!$B$14:$C$21, 2, FALSE)</f>
        <v>Single carriageway</v>
      </c>
      <c r="AA482">
        <v>60</v>
      </c>
      <c r="AB482">
        <v>-1</v>
      </c>
      <c r="AC482">
        <v>0</v>
      </c>
      <c r="AD482">
        <v>-1</v>
      </c>
      <c r="AE482">
        <v>0</v>
      </c>
      <c r="AF482">
        <v>-1</v>
      </c>
      <c r="AG482">
        <v>-1</v>
      </c>
      <c r="AH482">
        <v>-1</v>
      </c>
      <c r="AI482">
        <v>0</v>
      </c>
      <c r="AJ482">
        <v>6</v>
      </c>
      <c r="AK482" t="str">
        <f>VLOOKUP(AJ482, Lookups!$B$23:$C$28, 2, FALSE)</f>
        <v>Darkness (Unlit)</v>
      </c>
      <c r="AL482">
        <v>1</v>
      </c>
      <c r="AM482" t="str">
        <f>VLOOKUP(AL482, Lookups!$B$30:$C$39, 2, FALSE)</f>
        <v>Fine / Clear</v>
      </c>
      <c r="AN482">
        <v>1</v>
      </c>
      <c r="AO482" t="str">
        <f>VLOOKUP(AN482, Lookups!$B$41:$C$49, 2, FALSE)</f>
        <v>Dry</v>
      </c>
      <c r="AP482">
        <v>-1</v>
      </c>
      <c r="AQ482">
        <v>-1</v>
      </c>
      <c r="AR482">
        <v>0</v>
      </c>
      <c r="AS482">
        <v>2</v>
      </c>
      <c r="AT482">
        <v>1</v>
      </c>
      <c r="AU482">
        <v>2</v>
      </c>
      <c r="AV482" t="s">
        <v>120</v>
      </c>
      <c r="AW482">
        <v>7</v>
      </c>
      <c r="AX482">
        <v>1</v>
      </c>
      <c r="AY482">
        <v>1</v>
      </c>
      <c r="AZ482">
        <v>0</v>
      </c>
    </row>
    <row r="483" spans="1:52" x14ac:dyDescent="0.35">
      <c r="A483">
        <v>2025221637097</v>
      </c>
      <c r="B483">
        <v>2025</v>
      </c>
      <c r="C483">
        <v>221637097</v>
      </c>
      <c r="D483">
        <v>387441</v>
      </c>
      <c r="E483">
        <v>252668</v>
      </c>
      <c r="F483">
        <v>-2.18506</v>
      </c>
      <c r="G483">
        <v>52.172130000000003</v>
      </c>
      <c r="H483">
        <v>22</v>
      </c>
      <c r="I483">
        <v>3</v>
      </c>
      <c r="J483" t="str">
        <f>VLOOKUP(I483, Lookups!$B$1:$C$4, 2, FALSE)</f>
        <v>Slight</v>
      </c>
      <c r="K483">
        <v>4</v>
      </c>
      <c r="L483">
        <v>1</v>
      </c>
      <c r="M483" s="1">
        <v>45901</v>
      </c>
      <c r="N483">
        <v>2</v>
      </c>
      <c r="O483" t="str">
        <f>VLOOKUP(N483, Lookups!$B$6:$C$12, 2, FALSE)</f>
        <v>Monday</v>
      </c>
      <c r="P483" s="2">
        <v>0.67708333333333337</v>
      </c>
      <c r="Q483">
        <v>-1</v>
      </c>
      <c r="R483" t="s">
        <v>54</v>
      </c>
      <c r="S483" t="s">
        <v>45</v>
      </c>
      <c r="T483" t="s">
        <v>45</v>
      </c>
      <c r="U483">
        <v>3</v>
      </c>
      <c r="V483" t="str">
        <f>VLOOKUP(U483, Lookups!$B$51:$C$57, 2, FALSE)</f>
        <v>A</v>
      </c>
      <c r="W483">
        <v>4440</v>
      </c>
      <c r="X483" t="str">
        <f>V483&amp;W483</f>
        <v>A4440</v>
      </c>
      <c r="Y483">
        <v>3</v>
      </c>
      <c r="Z483" t="str">
        <f>VLOOKUP(Y483, Lookups!$B$14:$C$21, 2, FALSE)</f>
        <v>Dual carriageway</v>
      </c>
      <c r="AA483">
        <v>40</v>
      </c>
      <c r="AB483">
        <v>-1</v>
      </c>
      <c r="AC483">
        <v>-1</v>
      </c>
      <c r="AD483">
        <v>4</v>
      </c>
      <c r="AE483">
        <v>3</v>
      </c>
      <c r="AF483">
        <v>4440</v>
      </c>
      <c r="AG483">
        <v>-1</v>
      </c>
      <c r="AH483">
        <v>-1</v>
      </c>
      <c r="AI483">
        <v>0</v>
      </c>
      <c r="AJ483">
        <v>1</v>
      </c>
      <c r="AK483" t="str">
        <f>VLOOKUP(AJ483, Lookups!$B$23:$C$28, 2, FALSE)</f>
        <v>Daylight</v>
      </c>
      <c r="AL483">
        <v>2</v>
      </c>
      <c r="AM483" t="str">
        <f>VLOOKUP(AL483, Lookups!$B$30:$C$39, 2, FALSE)</f>
        <v>Rain</v>
      </c>
      <c r="AN483">
        <v>2</v>
      </c>
      <c r="AO483" t="str">
        <f>VLOOKUP(AN483, Lookups!$B$41:$C$49, 2, FALSE)</f>
        <v>Wet / damp</v>
      </c>
      <c r="AP483">
        <v>-1</v>
      </c>
      <c r="AQ483">
        <v>-1</v>
      </c>
      <c r="AR483">
        <v>0</v>
      </c>
      <c r="AS483">
        <v>2</v>
      </c>
      <c r="AT483">
        <v>1</v>
      </c>
      <c r="AU483">
        <v>2</v>
      </c>
      <c r="AV483" t="s">
        <v>132</v>
      </c>
      <c r="AW483">
        <v>3</v>
      </c>
      <c r="AX483">
        <v>1</v>
      </c>
      <c r="AY483">
        <v>0</v>
      </c>
      <c r="AZ483">
        <v>1</v>
      </c>
    </row>
    <row r="484" spans="1:52" x14ac:dyDescent="0.35">
      <c r="A484">
        <v>2025221641686</v>
      </c>
      <c r="B484">
        <v>2025</v>
      </c>
      <c r="C484">
        <v>221641686</v>
      </c>
      <c r="D484">
        <v>402370</v>
      </c>
      <c r="E484">
        <v>240560</v>
      </c>
      <c r="F484">
        <v>-1.9668399999999999</v>
      </c>
      <c r="G484">
        <v>52.063409999999998</v>
      </c>
      <c r="H484">
        <v>22</v>
      </c>
      <c r="I484">
        <v>3</v>
      </c>
      <c r="J484" t="str">
        <f>VLOOKUP(I484, Lookups!$B$1:$C$4, 2, FALSE)</f>
        <v>Slight</v>
      </c>
      <c r="K484">
        <v>1</v>
      </c>
      <c r="L484">
        <v>1</v>
      </c>
      <c r="M484" s="1">
        <v>45914</v>
      </c>
      <c r="N484">
        <v>1</v>
      </c>
      <c r="O484" t="str">
        <f>VLOOKUP(N484, Lookups!$B$6:$C$12, 2, FALSE)</f>
        <v>Sunday</v>
      </c>
      <c r="P484" s="2">
        <v>0.9375</v>
      </c>
      <c r="Q484">
        <v>-1</v>
      </c>
      <c r="R484" t="s">
        <v>54</v>
      </c>
      <c r="S484" t="s">
        <v>45</v>
      </c>
      <c r="T484" t="s">
        <v>45</v>
      </c>
      <c r="U484">
        <v>6</v>
      </c>
      <c r="V484" t="str">
        <f>VLOOKUP(U484, Lookups!$B$51:$C$57, 2, FALSE)</f>
        <v>Unclassified</v>
      </c>
      <c r="W484">
        <v>0</v>
      </c>
      <c r="X484" t="s">
        <v>362</v>
      </c>
      <c r="Y484">
        <v>6</v>
      </c>
      <c r="Z484" t="str">
        <f>VLOOKUP(Y484, Lookups!$B$14:$C$21, 2, FALSE)</f>
        <v>Single carriageway</v>
      </c>
      <c r="AA484">
        <v>60</v>
      </c>
      <c r="AB484">
        <v>-1</v>
      </c>
      <c r="AC484">
        <v>0</v>
      </c>
      <c r="AD484">
        <v>-1</v>
      </c>
      <c r="AE484">
        <v>0</v>
      </c>
      <c r="AF484">
        <v>-1</v>
      </c>
      <c r="AG484">
        <v>-1</v>
      </c>
      <c r="AH484">
        <v>-1</v>
      </c>
      <c r="AI484">
        <v>0</v>
      </c>
      <c r="AJ484">
        <v>6</v>
      </c>
      <c r="AK484" t="str">
        <f>VLOOKUP(AJ484, Lookups!$B$23:$C$28, 2, FALSE)</f>
        <v>Darkness (Unlit)</v>
      </c>
      <c r="AL484">
        <v>2</v>
      </c>
      <c r="AM484" t="str">
        <f>VLOOKUP(AL484, Lookups!$B$30:$C$39, 2, FALSE)</f>
        <v>Rain</v>
      </c>
      <c r="AN484">
        <v>2</v>
      </c>
      <c r="AO484" t="str">
        <f>VLOOKUP(AN484, Lookups!$B$41:$C$49, 2, FALSE)</f>
        <v>Wet / damp</v>
      </c>
      <c r="AP484">
        <v>-1</v>
      </c>
      <c r="AQ484">
        <v>-1</v>
      </c>
      <c r="AR484">
        <v>0</v>
      </c>
      <c r="AS484">
        <v>2</v>
      </c>
      <c r="AT484">
        <v>1</v>
      </c>
      <c r="AU484">
        <v>2</v>
      </c>
      <c r="AV484" t="s">
        <v>134</v>
      </c>
      <c r="AW484">
        <v>3</v>
      </c>
      <c r="AX484">
        <v>1</v>
      </c>
      <c r="AY484">
        <v>0</v>
      </c>
      <c r="AZ484">
        <v>1</v>
      </c>
    </row>
    <row r="485" spans="1:52" x14ac:dyDescent="0.35">
      <c r="A485">
        <v>2025221664205</v>
      </c>
      <c r="B485">
        <v>2025</v>
      </c>
      <c r="C485">
        <v>221664205</v>
      </c>
      <c r="D485">
        <v>388890</v>
      </c>
      <c r="E485">
        <v>255403</v>
      </c>
      <c r="F485">
        <v>-2.1639599999999999</v>
      </c>
      <c r="G485">
        <v>52.196750000000002</v>
      </c>
      <c r="H485">
        <v>22</v>
      </c>
      <c r="I485">
        <v>2</v>
      </c>
      <c r="J485" t="str">
        <f>VLOOKUP(I485, Lookups!$B$1:$C$4, 2, FALSE)</f>
        <v>Serious</v>
      </c>
      <c r="K485">
        <v>3</v>
      </c>
      <c r="L485">
        <v>2</v>
      </c>
      <c r="M485" s="1">
        <v>45966</v>
      </c>
      <c r="N485">
        <v>4</v>
      </c>
      <c r="O485" t="str">
        <f>VLOOKUP(N485, Lookups!$B$6:$C$12, 2, FALSE)</f>
        <v>Wednesday</v>
      </c>
      <c r="P485" s="2">
        <v>0.77777777777777779</v>
      </c>
      <c r="Q485">
        <v>-1</v>
      </c>
      <c r="R485" t="s">
        <v>54</v>
      </c>
      <c r="S485" t="s">
        <v>45</v>
      </c>
      <c r="T485" t="s">
        <v>45</v>
      </c>
      <c r="U485">
        <v>4</v>
      </c>
      <c r="V485" t="str">
        <f>VLOOKUP(U485, Lookups!$B$51:$C$57, 2, FALSE)</f>
        <v>B</v>
      </c>
      <c r="W485">
        <v>4636</v>
      </c>
      <c r="X485" t="str">
        <f>V485&amp;W485</f>
        <v>B4636</v>
      </c>
      <c r="Y485">
        <v>6</v>
      </c>
      <c r="Z485" t="str">
        <f>VLOOKUP(Y485, Lookups!$B$14:$C$21, 2, FALSE)</f>
        <v>Single carriageway</v>
      </c>
      <c r="AA485">
        <v>60</v>
      </c>
      <c r="AB485">
        <v>-1</v>
      </c>
      <c r="AC485">
        <v>0</v>
      </c>
      <c r="AD485">
        <v>-1</v>
      </c>
      <c r="AE485">
        <v>0</v>
      </c>
      <c r="AF485">
        <v>-1</v>
      </c>
      <c r="AG485">
        <v>-1</v>
      </c>
      <c r="AH485">
        <v>-1</v>
      </c>
      <c r="AI485">
        <v>0</v>
      </c>
      <c r="AJ485">
        <v>6</v>
      </c>
      <c r="AK485" t="str">
        <f>VLOOKUP(AJ485, Lookups!$B$23:$C$28, 2, FALSE)</f>
        <v>Darkness (Unlit)</v>
      </c>
      <c r="AL485">
        <v>2</v>
      </c>
      <c r="AM485" t="str">
        <f>VLOOKUP(AL485, Lookups!$B$30:$C$39, 2, FALSE)</f>
        <v>Rain</v>
      </c>
      <c r="AN485">
        <v>2</v>
      </c>
      <c r="AO485" t="str">
        <f>VLOOKUP(AN485, Lookups!$B$41:$C$49, 2, FALSE)</f>
        <v>Wet / damp</v>
      </c>
      <c r="AP485">
        <v>-1</v>
      </c>
      <c r="AQ485">
        <v>-1</v>
      </c>
      <c r="AR485">
        <v>0</v>
      </c>
      <c r="AS485">
        <v>2</v>
      </c>
      <c r="AT485">
        <v>1</v>
      </c>
      <c r="AU485">
        <v>2</v>
      </c>
      <c r="AV485" t="s">
        <v>55</v>
      </c>
      <c r="AW485">
        <v>7</v>
      </c>
      <c r="AX485">
        <v>1</v>
      </c>
      <c r="AY485">
        <v>1</v>
      </c>
      <c r="AZ485">
        <v>0</v>
      </c>
    </row>
    <row r="486" spans="1:52" x14ac:dyDescent="0.35">
      <c r="A486">
        <v>2025221691287</v>
      </c>
      <c r="B486">
        <v>2025</v>
      </c>
      <c r="C486">
        <v>221691287</v>
      </c>
      <c r="D486">
        <v>382357</v>
      </c>
      <c r="E486">
        <v>276831</v>
      </c>
      <c r="F486">
        <v>-2.2606700000000002</v>
      </c>
      <c r="G486">
        <v>52.389220000000002</v>
      </c>
      <c r="H486">
        <v>22</v>
      </c>
      <c r="I486">
        <v>3</v>
      </c>
      <c r="J486" t="str">
        <f>VLOOKUP(I486, Lookups!$B$1:$C$4, 2, FALSE)</f>
        <v>Slight</v>
      </c>
      <c r="K486">
        <v>1</v>
      </c>
      <c r="L486">
        <v>1</v>
      </c>
      <c r="M486" s="1">
        <v>46013</v>
      </c>
      <c r="N486">
        <v>2</v>
      </c>
      <c r="O486" t="str">
        <f>VLOOKUP(N486, Lookups!$B$6:$C$12, 2, FALSE)</f>
        <v>Monday</v>
      </c>
      <c r="P486" s="2">
        <v>0.84375</v>
      </c>
      <c r="Q486">
        <v>-1</v>
      </c>
      <c r="R486" t="s">
        <v>44</v>
      </c>
      <c r="S486" t="s">
        <v>45</v>
      </c>
      <c r="T486" t="s">
        <v>45</v>
      </c>
      <c r="U486">
        <v>6</v>
      </c>
      <c r="V486" t="str">
        <f>VLOOKUP(U486, Lookups!$B$51:$C$57, 2, FALSE)</f>
        <v>Unclassified</v>
      </c>
      <c r="W486">
        <v>0</v>
      </c>
      <c r="X486" t="s">
        <v>362</v>
      </c>
      <c r="Y486">
        <v>6</v>
      </c>
      <c r="Z486" t="str">
        <f>VLOOKUP(Y486, Lookups!$B$14:$C$21, 2, FALSE)</f>
        <v>Single carriageway</v>
      </c>
      <c r="AA486">
        <v>30</v>
      </c>
      <c r="AB486">
        <v>-1</v>
      </c>
      <c r="AC486">
        <v>13</v>
      </c>
      <c r="AD486">
        <v>4</v>
      </c>
      <c r="AE486">
        <v>6</v>
      </c>
      <c r="AF486">
        <v>0</v>
      </c>
      <c r="AG486">
        <v>-1</v>
      </c>
      <c r="AH486">
        <v>-1</v>
      </c>
      <c r="AI486">
        <v>0</v>
      </c>
      <c r="AJ486">
        <v>4</v>
      </c>
      <c r="AK486" t="str">
        <f>VLOOKUP(AJ486, Lookups!$B$23:$C$28, 2, FALSE)</f>
        <v>Darkness (Lit)</v>
      </c>
      <c r="AL486">
        <v>1</v>
      </c>
      <c r="AM486" t="str">
        <f>VLOOKUP(AL486, Lookups!$B$30:$C$39, 2, FALSE)</f>
        <v>Fine / Clear</v>
      </c>
      <c r="AN486">
        <v>1</v>
      </c>
      <c r="AO486" t="str">
        <f>VLOOKUP(AN486, Lookups!$B$41:$C$49, 2, FALSE)</f>
        <v>Dry</v>
      </c>
      <c r="AP486">
        <v>-1</v>
      </c>
      <c r="AQ486">
        <v>-1</v>
      </c>
      <c r="AR486">
        <v>0</v>
      </c>
      <c r="AS486">
        <v>1</v>
      </c>
      <c r="AT486">
        <v>1</v>
      </c>
      <c r="AU486">
        <v>2</v>
      </c>
      <c r="AV486" t="s">
        <v>105</v>
      </c>
      <c r="AW486">
        <v>3</v>
      </c>
      <c r="AX486">
        <v>1</v>
      </c>
      <c r="AY486">
        <v>0</v>
      </c>
      <c r="AZ486">
        <v>1</v>
      </c>
    </row>
    <row r="487" spans="1:52" x14ac:dyDescent="0.35">
      <c r="A487">
        <v>2025221555374</v>
      </c>
      <c r="B487">
        <v>2025</v>
      </c>
      <c r="C487">
        <v>221555374</v>
      </c>
      <c r="D487">
        <v>380180</v>
      </c>
      <c r="E487">
        <v>269172</v>
      </c>
      <c r="F487">
        <v>-2.2921999999999998</v>
      </c>
      <c r="G487">
        <v>52.32029</v>
      </c>
      <c r="H487">
        <v>22</v>
      </c>
      <c r="I487">
        <v>3</v>
      </c>
      <c r="J487" t="str">
        <f>VLOOKUP(I487, Lookups!$B$1:$C$4, 2, FALSE)</f>
        <v>Slight</v>
      </c>
      <c r="K487">
        <v>1</v>
      </c>
      <c r="L487">
        <v>1</v>
      </c>
      <c r="M487" s="1">
        <v>45705</v>
      </c>
      <c r="N487">
        <v>2</v>
      </c>
      <c r="O487" t="str">
        <f>VLOOKUP(N487, Lookups!$B$6:$C$12, 2, FALSE)</f>
        <v>Monday</v>
      </c>
      <c r="P487" s="2">
        <v>0.84861111111111109</v>
      </c>
      <c r="Q487">
        <v>-1</v>
      </c>
      <c r="R487" t="s">
        <v>49</v>
      </c>
      <c r="S487" t="s">
        <v>45</v>
      </c>
      <c r="T487" t="s">
        <v>45</v>
      </c>
      <c r="U487">
        <v>4</v>
      </c>
      <c r="V487" t="str">
        <f>VLOOKUP(U487, Lookups!$B$51:$C$57, 2, FALSE)</f>
        <v>B</v>
      </c>
      <c r="W487">
        <v>4194</v>
      </c>
      <c r="X487" t="str">
        <f t="shared" ref="X487:X488" si="64">V487&amp;W487</f>
        <v>B4194</v>
      </c>
      <c r="Y487">
        <v>6</v>
      </c>
      <c r="Z487" t="str">
        <f>VLOOKUP(Y487, Lookups!$B$14:$C$21, 2, FALSE)</f>
        <v>Single carriageway</v>
      </c>
      <c r="AA487">
        <v>60</v>
      </c>
      <c r="AB487">
        <v>-1</v>
      </c>
      <c r="AC487">
        <v>0</v>
      </c>
      <c r="AD487">
        <v>-1</v>
      </c>
      <c r="AE487">
        <v>6</v>
      </c>
      <c r="AF487">
        <v>0</v>
      </c>
      <c r="AG487">
        <v>-1</v>
      </c>
      <c r="AH487">
        <v>-1</v>
      </c>
      <c r="AI487">
        <v>0</v>
      </c>
      <c r="AJ487">
        <v>6</v>
      </c>
      <c r="AK487" t="str">
        <f>VLOOKUP(AJ487, Lookups!$B$23:$C$28, 2, FALSE)</f>
        <v>Darkness (Unlit)</v>
      </c>
      <c r="AL487">
        <v>1</v>
      </c>
      <c r="AM487" t="str">
        <f>VLOOKUP(AL487, Lookups!$B$30:$C$39, 2, FALSE)</f>
        <v>Fine / Clear</v>
      </c>
      <c r="AN487">
        <v>1</v>
      </c>
      <c r="AO487" t="str">
        <f>VLOOKUP(AN487, Lookups!$B$41:$C$49, 2, FALSE)</f>
        <v>Dry</v>
      </c>
      <c r="AP487">
        <v>-1</v>
      </c>
      <c r="AQ487">
        <v>-1</v>
      </c>
      <c r="AR487">
        <v>0</v>
      </c>
      <c r="AS487">
        <v>2</v>
      </c>
      <c r="AT487">
        <v>1</v>
      </c>
      <c r="AU487">
        <v>2</v>
      </c>
      <c r="AV487" t="s">
        <v>188</v>
      </c>
      <c r="AW487">
        <v>3</v>
      </c>
      <c r="AX487">
        <v>1</v>
      </c>
      <c r="AY487">
        <v>0</v>
      </c>
      <c r="AZ487">
        <v>1</v>
      </c>
    </row>
    <row r="488" spans="1:52" x14ac:dyDescent="0.35">
      <c r="A488">
        <v>2025221582339</v>
      </c>
      <c r="B488">
        <v>2025</v>
      </c>
      <c r="C488">
        <v>221582339</v>
      </c>
      <c r="D488">
        <v>385213</v>
      </c>
      <c r="E488">
        <v>254752</v>
      </c>
      <c r="F488">
        <v>-2.21773</v>
      </c>
      <c r="G488">
        <v>52.190809999999999</v>
      </c>
      <c r="H488">
        <v>22</v>
      </c>
      <c r="I488">
        <v>2</v>
      </c>
      <c r="J488" t="str">
        <f>VLOOKUP(I488, Lookups!$B$1:$C$4, 2, FALSE)</f>
        <v>Serious</v>
      </c>
      <c r="K488">
        <v>2</v>
      </c>
      <c r="L488">
        <v>1</v>
      </c>
      <c r="M488" s="1">
        <v>45773</v>
      </c>
      <c r="N488">
        <v>7</v>
      </c>
      <c r="O488" t="str">
        <f>VLOOKUP(N488, Lookups!$B$6:$C$12, 2, FALSE)</f>
        <v>Saturday</v>
      </c>
      <c r="P488" s="2">
        <v>0.68333333333333335</v>
      </c>
      <c r="Q488">
        <v>-1</v>
      </c>
      <c r="R488" t="s">
        <v>60</v>
      </c>
      <c r="S488" t="s">
        <v>45</v>
      </c>
      <c r="T488" t="s">
        <v>45</v>
      </c>
      <c r="U488">
        <v>3</v>
      </c>
      <c r="V488" t="str">
        <f>VLOOKUP(U488, Lookups!$B$51:$C$57, 2, FALSE)</f>
        <v>A</v>
      </c>
      <c r="W488">
        <v>38</v>
      </c>
      <c r="X488" t="str">
        <f t="shared" si="64"/>
        <v>A38</v>
      </c>
      <c r="Y488">
        <v>3</v>
      </c>
      <c r="Z488" t="str">
        <f>VLOOKUP(Y488, Lookups!$B$14:$C$21, 2, FALSE)</f>
        <v>Dual carriageway</v>
      </c>
      <c r="AA488">
        <v>30</v>
      </c>
      <c r="AB488">
        <v>-1</v>
      </c>
      <c r="AC488">
        <v>13</v>
      </c>
      <c r="AD488">
        <v>2</v>
      </c>
      <c r="AE488">
        <v>6</v>
      </c>
      <c r="AF488">
        <v>0</v>
      </c>
      <c r="AG488">
        <v>-1</v>
      </c>
      <c r="AH488">
        <v>-1</v>
      </c>
      <c r="AI488">
        <v>14</v>
      </c>
      <c r="AJ488">
        <v>1</v>
      </c>
      <c r="AK488" t="str">
        <f>VLOOKUP(AJ488, Lookups!$B$23:$C$28, 2, FALSE)</f>
        <v>Daylight</v>
      </c>
      <c r="AL488">
        <v>1</v>
      </c>
      <c r="AM488" t="str">
        <f>VLOOKUP(AL488, Lookups!$B$30:$C$39, 2, FALSE)</f>
        <v>Fine / Clear</v>
      </c>
      <c r="AN488">
        <v>1</v>
      </c>
      <c r="AO488" t="str">
        <f>VLOOKUP(AN488, Lookups!$B$41:$C$49, 2, FALSE)</f>
        <v>Dry</v>
      </c>
      <c r="AP488">
        <v>-1</v>
      </c>
      <c r="AQ488">
        <v>-1</v>
      </c>
      <c r="AR488">
        <v>0</v>
      </c>
      <c r="AS488">
        <v>1</v>
      </c>
      <c r="AT488">
        <v>1</v>
      </c>
      <c r="AU488">
        <v>2</v>
      </c>
      <c r="AV488" t="s">
        <v>122</v>
      </c>
      <c r="AW488">
        <v>6</v>
      </c>
      <c r="AX488">
        <v>1</v>
      </c>
      <c r="AY488">
        <v>1</v>
      </c>
      <c r="AZ488">
        <v>0</v>
      </c>
    </row>
    <row r="489" spans="1:52" x14ac:dyDescent="0.35">
      <c r="A489">
        <v>2025221654732</v>
      </c>
      <c r="B489">
        <v>2025</v>
      </c>
      <c r="C489">
        <v>221654732</v>
      </c>
      <c r="D489">
        <v>404551</v>
      </c>
      <c r="E489">
        <v>266726</v>
      </c>
      <c r="F489">
        <v>-1.93469</v>
      </c>
      <c r="G489">
        <v>52.298639999999999</v>
      </c>
      <c r="H489">
        <v>22</v>
      </c>
      <c r="I489">
        <v>3</v>
      </c>
      <c r="J489" t="str">
        <f>VLOOKUP(I489, Lookups!$B$1:$C$4, 2, FALSE)</f>
        <v>Slight</v>
      </c>
      <c r="K489">
        <v>2</v>
      </c>
      <c r="L489">
        <v>2</v>
      </c>
      <c r="M489" s="1">
        <v>45933</v>
      </c>
      <c r="N489">
        <v>6</v>
      </c>
      <c r="O489" t="str">
        <f>VLOOKUP(N489, Lookups!$B$6:$C$12, 2, FALSE)</f>
        <v>Friday</v>
      </c>
      <c r="P489" s="2">
        <v>0.92361111111111116</v>
      </c>
      <c r="Q489">
        <v>-1</v>
      </c>
      <c r="R489" t="s">
        <v>69</v>
      </c>
      <c r="S489" t="s">
        <v>45</v>
      </c>
      <c r="T489" t="s">
        <v>45</v>
      </c>
      <c r="U489">
        <v>6</v>
      </c>
      <c r="V489" t="str">
        <f>VLOOKUP(U489, Lookups!$B$51:$C$57, 2, FALSE)</f>
        <v>Unclassified</v>
      </c>
      <c r="W489">
        <v>0</v>
      </c>
      <c r="X489" t="s">
        <v>362</v>
      </c>
      <c r="Y489">
        <v>6</v>
      </c>
      <c r="Z489" t="str">
        <f>VLOOKUP(Y489, Lookups!$B$14:$C$21, 2, FALSE)</f>
        <v>Single carriageway</v>
      </c>
      <c r="AA489">
        <v>30</v>
      </c>
      <c r="AB489">
        <v>-1</v>
      </c>
      <c r="AC489">
        <v>13</v>
      </c>
      <c r="AD489">
        <v>4</v>
      </c>
      <c r="AE489">
        <v>6</v>
      </c>
      <c r="AF489">
        <v>0</v>
      </c>
      <c r="AG489">
        <v>-1</v>
      </c>
      <c r="AH489">
        <v>-1</v>
      </c>
      <c r="AI489">
        <v>0</v>
      </c>
      <c r="AJ489">
        <v>4</v>
      </c>
      <c r="AK489" t="str">
        <f>VLOOKUP(AJ489, Lookups!$B$23:$C$28, 2, FALSE)</f>
        <v>Darkness (Lit)</v>
      </c>
      <c r="AL489">
        <v>2</v>
      </c>
      <c r="AM489" t="str">
        <f>VLOOKUP(AL489, Lookups!$B$30:$C$39, 2, FALSE)</f>
        <v>Rain</v>
      </c>
      <c r="AN489">
        <v>2</v>
      </c>
      <c r="AO489" t="str">
        <f>VLOOKUP(AN489, Lookups!$B$41:$C$49, 2, FALSE)</f>
        <v>Wet / damp</v>
      </c>
      <c r="AP489">
        <v>-1</v>
      </c>
      <c r="AQ489">
        <v>-1</v>
      </c>
      <c r="AR489">
        <v>0</v>
      </c>
      <c r="AS489">
        <v>2</v>
      </c>
      <c r="AT489">
        <v>1</v>
      </c>
      <c r="AU489">
        <v>2</v>
      </c>
      <c r="AV489" t="s">
        <v>187</v>
      </c>
      <c r="AW489">
        <v>3</v>
      </c>
      <c r="AX489">
        <v>1</v>
      </c>
      <c r="AY489">
        <v>0</v>
      </c>
      <c r="AZ489">
        <v>1</v>
      </c>
    </row>
    <row r="490" spans="1:52" x14ac:dyDescent="0.35">
      <c r="A490">
        <v>2025221651957</v>
      </c>
      <c r="B490">
        <v>2025</v>
      </c>
      <c r="C490">
        <v>221651957</v>
      </c>
      <c r="D490">
        <v>381345</v>
      </c>
      <c r="E490">
        <v>272104</v>
      </c>
      <c r="F490">
        <v>-2.2752699999999999</v>
      </c>
      <c r="G490">
        <v>52.346690000000002</v>
      </c>
      <c r="H490">
        <v>22</v>
      </c>
      <c r="I490">
        <v>3</v>
      </c>
      <c r="J490" t="str">
        <f>VLOOKUP(I490, Lookups!$B$1:$C$4, 2, FALSE)</f>
        <v>Slight</v>
      </c>
      <c r="K490">
        <v>2</v>
      </c>
      <c r="L490">
        <v>1</v>
      </c>
      <c r="M490" s="1">
        <v>45938</v>
      </c>
      <c r="N490">
        <v>4</v>
      </c>
      <c r="O490" t="str">
        <f>VLOOKUP(N490, Lookups!$B$6:$C$12, 2, FALSE)</f>
        <v>Wednesday</v>
      </c>
      <c r="P490" s="2">
        <v>0.6875</v>
      </c>
      <c r="Q490">
        <v>-1</v>
      </c>
      <c r="R490" t="s">
        <v>44</v>
      </c>
      <c r="S490" t="s">
        <v>45</v>
      </c>
      <c r="T490" t="s">
        <v>45</v>
      </c>
      <c r="U490">
        <v>3</v>
      </c>
      <c r="V490" t="str">
        <f>VLOOKUP(U490, Lookups!$B$51:$C$57, 2, FALSE)</f>
        <v>A</v>
      </c>
      <c r="W490">
        <v>451</v>
      </c>
      <c r="X490" t="str">
        <f t="shared" ref="X490:X491" si="65">V490&amp;W490</f>
        <v>A451</v>
      </c>
      <c r="Y490">
        <v>6</v>
      </c>
      <c r="Z490" t="str">
        <f>VLOOKUP(Y490, Lookups!$B$14:$C$21, 2, FALSE)</f>
        <v>Single carriageway</v>
      </c>
      <c r="AA490">
        <v>30</v>
      </c>
      <c r="AB490">
        <v>-1</v>
      </c>
      <c r="AC490">
        <v>13</v>
      </c>
      <c r="AD490">
        <v>4</v>
      </c>
      <c r="AE490">
        <v>6</v>
      </c>
      <c r="AF490">
        <v>0</v>
      </c>
      <c r="AG490">
        <v>-1</v>
      </c>
      <c r="AH490">
        <v>-1</v>
      </c>
      <c r="AI490">
        <v>0</v>
      </c>
      <c r="AJ490">
        <v>1</v>
      </c>
      <c r="AK490" t="str">
        <f>VLOOKUP(AJ490, Lookups!$B$23:$C$28, 2, FALSE)</f>
        <v>Daylight</v>
      </c>
      <c r="AL490">
        <v>1</v>
      </c>
      <c r="AM490" t="str">
        <f>VLOOKUP(AL490, Lookups!$B$30:$C$39, 2, FALSE)</f>
        <v>Fine / Clear</v>
      </c>
      <c r="AN490">
        <v>1</v>
      </c>
      <c r="AO490" t="str">
        <f>VLOOKUP(AN490, Lookups!$B$41:$C$49, 2, FALSE)</f>
        <v>Dry</v>
      </c>
      <c r="AP490">
        <v>-1</v>
      </c>
      <c r="AQ490">
        <v>-1</v>
      </c>
      <c r="AR490">
        <v>0</v>
      </c>
      <c r="AS490">
        <v>1</v>
      </c>
      <c r="AT490">
        <v>1</v>
      </c>
      <c r="AU490">
        <v>2</v>
      </c>
      <c r="AV490" t="s">
        <v>277</v>
      </c>
      <c r="AW490">
        <v>3</v>
      </c>
      <c r="AX490">
        <v>1</v>
      </c>
      <c r="AY490">
        <v>0</v>
      </c>
      <c r="AZ490">
        <v>1</v>
      </c>
    </row>
    <row r="491" spans="1:52" x14ac:dyDescent="0.35">
      <c r="A491">
        <v>2025221576441</v>
      </c>
      <c r="B491">
        <v>2025</v>
      </c>
      <c r="C491">
        <v>221576441</v>
      </c>
      <c r="D491">
        <v>404564</v>
      </c>
      <c r="E491">
        <v>273522</v>
      </c>
      <c r="F491">
        <v>-1.93441</v>
      </c>
      <c r="G491">
        <v>52.359740000000002</v>
      </c>
      <c r="H491">
        <v>22</v>
      </c>
      <c r="I491">
        <v>2</v>
      </c>
      <c r="J491" t="str">
        <f>VLOOKUP(I491, Lookups!$B$1:$C$4, 2, FALSE)</f>
        <v>Serious</v>
      </c>
      <c r="K491">
        <v>2</v>
      </c>
      <c r="L491">
        <v>1</v>
      </c>
      <c r="M491" s="1">
        <v>45755</v>
      </c>
      <c r="N491">
        <v>3</v>
      </c>
      <c r="O491" t="str">
        <f>VLOOKUP(N491, Lookups!$B$6:$C$12, 2, FALSE)</f>
        <v>Tuesday</v>
      </c>
      <c r="P491" s="2">
        <v>0.71736111111111112</v>
      </c>
      <c r="Q491">
        <v>-1</v>
      </c>
      <c r="R491" t="s">
        <v>47</v>
      </c>
      <c r="S491" t="s">
        <v>45</v>
      </c>
      <c r="T491" t="s">
        <v>45</v>
      </c>
      <c r="U491">
        <v>1</v>
      </c>
      <c r="V491" t="str">
        <f>VLOOKUP(U491, Lookups!$B$51:$C$57, 2, FALSE)</f>
        <v>M</v>
      </c>
      <c r="W491">
        <v>42</v>
      </c>
      <c r="X491" t="str">
        <f t="shared" si="65"/>
        <v>M42</v>
      </c>
      <c r="Y491">
        <v>3</v>
      </c>
      <c r="Z491" t="str">
        <f>VLOOKUP(Y491, Lookups!$B$14:$C$21, 2, FALSE)</f>
        <v>Dual carriageway</v>
      </c>
      <c r="AA491">
        <v>70</v>
      </c>
      <c r="AB491">
        <v>-1</v>
      </c>
      <c r="AC491">
        <v>0</v>
      </c>
      <c r="AD491">
        <v>-1</v>
      </c>
      <c r="AE491">
        <v>0</v>
      </c>
      <c r="AF491">
        <v>-1</v>
      </c>
      <c r="AG491">
        <v>-1</v>
      </c>
      <c r="AH491">
        <v>-1</v>
      </c>
      <c r="AI491">
        <v>0</v>
      </c>
      <c r="AJ491">
        <v>1</v>
      </c>
      <c r="AK491" t="str">
        <f>VLOOKUP(AJ491, Lookups!$B$23:$C$28, 2, FALSE)</f>
        <v>Daylight</v>
      </c>
      <c r="AL491">
        <v>1</v>
      </c>
      <c r="AM491" t="str">
        <f>VLOOKUP(AL491, Lookups!$B$30:$C$39, 2, FALSE)</f>
        <v>Fine / Clear</v>
      </c>
      <c r="AN491">
        <v>1</v>
      </c>
      <c r="AO491" t="str">
        <f>VLOOKUP(AN491, Lookups!$B$41:$C$49, 2, FALSE)</f>
        <v>Dry</v>
      </c>
      <c r="AP491">
        <v>-1</v>
      </c>
      <c r="AQ491">
        <v>-1</v>
      </c>
      <c r="AR491">
        <v>0</v>
      </c>
      <c r="AS491">
        <v>2</v>
      </c>
      <c r="AT491">
        <v>1</v>
      </c>
      <c r="AU491">
        <v>1</v>
      </c>
      <c r="AV491" t="s">
        <v>77</v>
      </c>
      <c r="AW491">
        <v>7</v>
      </c>
      <c r="AX491">
        <v>1</v>
      </c>
      <c r="AY491">
        <v>1</v>
      </c>
      <c r="AZ491">
        <v>0</v>
      </c>
    </row>
    <row r="492" spans="1:52" x14ac:dyDescent="0.35">
      <c r="A492">
        <v>2025221576840</v>
      </c>
      <c r="B492">
        <v>2025</v>
      </c>
      <c r="C492">
        <v>221576840</v>
      </c>
      <c r="D492">
        <v>391073</v>
      </c>
      <c r="E492">
        <v>260296</v>
      </c>
      <c r="F492">
        <v>-2.1321500000000002</v>
      </c>
      <c r="G492">
        <v>52.240780000000001</v>
      </c>
      <c r="H492">
        <v>22</v>
      </c>
      <c r="I492">
        <v>2</v>
      </c>
      <c r="J492" t="str">
        <f>VLOOKUP(I492, Lookups!$B$1:$C$4, 2, FALSE)</f>
        <v>Serious</v>
      </c>
      <c r="K492">
        <v>2</v>
      </c>
      <c r="L492">
        <v>1</v>
      </c>
      <c r="M492" s="1">
        <v>45758</v>
      </c>
      <c r="N492">
        <v>6</v>
      </c>
      <c r="O492" t="str">
        <f>VLOOKUP(N492, Lookups!$B$6:$C$12, 2, FALSE)</f>
        <v>Friday</v>
      </c>
      <c r="P492" s="2">
        <v>0.69930555555555551</v>
      </c>
      <c r="Q492">
        <v>-1</v>
      </c>
      <c r="R492" t="s">
        <v>54</v>
      </c>
      <c r="S492" t="s">
        <v>45</v>
      </c>
      <c r="T492" t="s">
        <v>45</v>
      </c>
      <c r="U492">
        <v>6</v>
      </c>
      <c r="V492" t="str">
        <f>VLOOKUP(U492, Lookups!$B$51:$C$57, 2, FALSE)</f>
        <v>Unclassified</v>
      </c>
      <c r="W492">
        <v>0</v>
      </c>
      <c r="X492" t="s">
        <v>362</v>
      </c>
      <c r="Y492">
        <v>6</v>
      </c>
      <c r="Z492" t="str">
        <f>VLOOKUP(Y492, Lookups!$B$14:$C$21, 2, FALSE)</f>
        <v>Single carriageway</v>
      </c>
      <c r="AA492">
        <v>60</v>
      </c>
      <c r="AB492">
        <v>-1</v>
      </c>
      <c r="AC492">
        <v>13</v>
      </c>
      <c r="AD492">
        <v>4</v>
      </c>
      <c r="AE492">
        <v>6</v>
      </c>
      <c r="AF492">
        <v>0</v>
      </c>
      <c r="AG492">
        <v>-1</v>
      </c>
      <c r="AH492">
        <v>-1</v>
      </c>
      <c r="AI492">
        <v>0</v>
      </c>
      <c r="AJ492">
        <v>1</v>
      </c>
      <c r="AK492" t="str">
        <f>VLOOKUP(AJ492, Lookups!$B$23:$C$28, 2, FALSE)</f>
        <v>Daylight</v>
      </c>
      <c r="AL492">
        <v>1</v>
      </c>
      <c r="AM492" t="str">
        <f>VLOOKUP(AL492, Lookups!$B$30:$C$39, 2, FALSE)</f>
        <v>Fine / Clear</v>
      </c>
      <c r="AN492">
        <v>1</v>
      </c>
      <c r="AO492" t="str">
        <f>VLOOKUP(AN492, Lookups!$B$41:$C$49, 2, FALSE)</f>
        <v>Dry</v>
      </c>
      <c r="AP492">
        <v>-1</v>
      </c>
      <c r="AQ492">
        <v>-1</v>
      </c>
      <c r="AR492">
        <v>0</v>
      </c>
      <c r="AS492">
        <v>2</v>
      </c>
      <c r="AT492">
        <v>1</v>
      </c>
      <c r="AU492">
        <v>2</v>
      </c>
      <c r="AV492" t="s">
        <v>93</v>
      </c>
      <c r="AW492">
        <v>7</v>
      </c>
      <c r="AX492">
        <v>1</v>
      </c>
      <c r="AY492">
        <v>1</v>
      </c>
      <c r="AZ492">
        <v>0</v>
      </c>
    </row>
    <row r="493" spans="1:52" x14ac:dyDescent="0.35">
      <c r="A493">
        <v>2025221594734</v>
      </c>
      <c r="B493">
        <v>2025</v>
      </c>
      <c r="C493">
        <v>221594734</v>
      </c>
      <c r="D493">
        <v>396918</v>
      </c>
      <c r="E493">
        <v>272915</v>
      </c>
      <c r="F493">
        <v>-2.0466700000000002</v>
      </c>
      <c r="G493">
        <v>52.354289999999999</v>
      </c>
      <c r="H493">
        <v>22</v>
      </c>
      <c r="I493">
        <v>3</v>
      </c>
      <c r="J493" t="str">
        <f>VLOOKUP(I493, Lookups!$B$1:$C$4, 2, FALSE)</f>
        <v>Slight</v>
      </c>
      <c r="K493">
        <v>2</v>
      </c>
      <c r="L493">
        <v>1</v>
      </c>
      <c r="M493" s="1">
        <v>45797</v>
      </c>
      <c r="N493">
        <v>3</v>
      </c>
      <c r="O493" t="str">
        <f>VLOOKUP(N493, Lookups!$B$6:$C$12, 2, FALSE)</f>
        <v>Tuesday</v>
      </c>
      <c r="P493" s="2">
        <v>0.52430555555555558</v>
      </c>
      <c r="Q493">
        <v>-1</v>
      </c>
      <c r="R493" t="s">
        <v>47</v>
      </c>
      <c r="S493" t="s">
        <v>45</v>
      </c>
      <c r="T493" t="s">
        <v>45</v>
      </c>
      <c r="U493">
        <v>3</v>
      </c>
      <c r="V493" t="str">
        <f>VLOOKUP(U493, Lookups!$B$51:$C$57, 2, FALSE)</f>
        <v>A</v>
      </c>
      <c r="W493">
        <v>38</v>
      </c>
      <c r="X493" t="str">
        <f>V493&amp;W493</f>
        <v>A38</v>
      </c>
      <c r="Y493">
        <v>6</v>
      </c>
      <c r="Z493" t="str">
        <f>VLOOKUP(Y493, Lookups!$B$14:$C$21, 2, FALSE)</f>
        <v>Single carriageway</v>
      </c>
      <c r="AA493">
        <v>40</v>
      </c>
      <c r="AB493">
        <v>-1</v>
      </c>
      <c r="AC493">
        <v>0</v>
      </c>
      <c r="AD493">
        <v>-1</v>
      </c>
      <c r="AE493">
        <v>6</v>
      </c>
      <c r="AF493">
        <v>0</v>
      </c>
      <c r="AG493">
        <v>-1</v>
      </c>
      <c r="AH493">
        <v>-1</v>
      </c>
      <c r="AI493">
        <v>13</v>
      </c>
      <c r="AJ493">
        <v>1</v>
      </c>
      <c r="AK493" t="str">
        <f>VLOOKUP(AJ493, Lookups!$B$23:$C$28, 2, FALSE)</f>
        <v>Daylight</v>
      </c>
      <c r="AL493">
        <v>1</v>
      </c>
      <c r="AM493" t="str">
        <f>VLOOKUP(AL493, Lookups!$B$30:$C$39, 2, FALSE)</f>
        <v>Fine / Clear</v>
      </c>
      <c r="AN493">
        <v>1</v>
      </c>
      <c r="AO493" t="str">
        <f>VLOOKUP(AN493, Lookups!$B$41:$C$49, 2, FALSE)</f>
        <v>Dry</v>
      </c>
      <c r="AP493">
        <v>-1</v>
      </c>
      <c r="AQ493">
        <v>-1</v>
      </c>
      <c r="AR493">
        <v>0</v>
      </c>
      <c r="AS493">
        <v>1</v>
      </c>
      <c r="AT493">
        <v>3</v>
      </c>
      <c r="AU493">
        <v>2</v>
      </c>
      <c r="AV493" t="s">
        <v>169</v>
      </c>
      <c r="AW493">
        <v>3</v>
      </c>
      <c r="AX493">
        <v>1</v>
      </c>
      <c r="AY493">
        <v>0</v>
      </c>
      <c r="AZ493">
        <v>1</v>
      </c>
    </row>
    <row r="494" spans="1:52" x14ac:dyDescent="0.35">
      <c r="A494">
        <v>2025221664108</v>
      </c>
      <c r="B494">
        <v>2025</v>
      </c>
      <c r="C494">
        <v>221664108</v>
      </c>
      <c r="D494">
        <v>392438</v>
      </c>
      <c r="E494">
        <v>236738</v>
      </c>
      <c r="F494">
        <v>-2.1116299999999999</v>
      </c>
      <c r="G494">
        <v>52.029000000000003</v>
      </c>
      <c r="H494">
        <v>22</v>
      </c>
      <c r="I494">
        <v>3</v>
      </c>
      <c r="J494" t="str">
        <f>VLOOKUP(I494, Lookups!$B$1:$C$4, 2, FALSE)</f>
        <v>Slight</v>
      </c>
      <c r="K494">
        <v>2</v>
      </c>
      <c r="L494">
        <v>2</v>
      </c>
      <c r="M494" s="1">
        <v>45966</v>
      </c>
      <c r="N494">
        <v>4</v>
      </c>
      <c r="O494" t="str">
        <f>VLOOKUP(N494, Lookups!$B$6:$C$12, 2, FALSE)</f>
        <v>Wednesday</v>
      </c>
      <c r="P494" s="2">
        <v>0.5625</v>
      </c>
      <c r="Q494">
        <v>-1</v>
      </c>
      <c r="R494" t="s">
        <v>54</v>
      </c>
      <c r="S494" t="s">
        <v>45</v>
      </c>
      <c r="T494" t="s">
        <v>45</v>
      </c>
      <c r="U494">
        <v>6</v>
      </c>
      <c r="V494" t="str">
        <f>VLOOKUP(U494, Lookups!$B$51:$C$57, 2, FALSE)</f>
        <v>Unclassified</v>
      </c>
      <c r="W494">
        <v>0</v>
      </c>
      <c r="X494" t="s">
        <v>362</v>
      </c>
      <c r="Y494">
        <v>6</v>
      </c>
      <c r="Z494" t="str">
        <f>VLOOKUP(Y494, Lookups!$B$14:$C$21, 2, FALSE)</f>
        <v>Single carriageway</v>
      </c>
      <c r="AA494">
        <v>30</v>
      </c>
      <c r="AB494">
        <v>-1</v>
      </c>
      <c r="AC494">
        <v>18</v>
      </c>
      <c r="AD494">
        <v>4</v>
      </c>
      <c r="AE494">
        <v>6</v>
      </c>
      <c r="AF494">
        <v>0</v>
      </c>
      <c r="AG494">
        <v>-1</v>
      </c>
      <c r="AH494">
        <v>-1</v>
      </c>
      <c r="AI494">
        <v>0</v>
      </c>
      <c r="AJ494">
        <v>1</v>
      </c>
      <c r="AK494" t="str">
        <f>VLOOKUP(AJ494, Lookups!$B$23:$C$28, 2, FALSE)</f>
        <v>Daylight</v>
      </c>
      <c r="AL494">
        <v>1</v>
      </c>
      <c r="AM494" t="str">
        <f>VLOOKUP(AL494, Lookups!$B$30:$C$39, 2, FALSE)</f>
        <v>Fine / Clear</v>
      </c>
      <c r="AN494">
        <v>1</v>
      </c>
      <c r="AO494" t="str">
        <f>VLOOKUP(AN494, Lookups!$B$41:$C$49, 2, FALSE)</f>
        <v>Dry</v>
      </c>
      <c r="AP494">
        <v>-1</v>
      </c>
      <c r="AQ494">
        <v>-1</v>
      </c>
      <c r="AR494">
        <v>0</v>
      </c>
      <c r="AS494">
        <v>2</v>
      </c>
      <c r="AT494">
        <v>3</v>
      </c>
      <c r="AU494">
        <v>2</v>
      </c>
      <c r="AV494" t="s">
        <v>278</v>
      </c>
      <c r="AW494">
        <v>3</v>
      </c>
      <c r="AX494">
        <v>1</v>
      </c>
      <c r="AY494">
        <v>0</v>
      </c>
      <c r="AZ494">
        <v>1</v>
      </c>
    </row>
    <row r="495" spans="1:52" x14ac:dyDescent="0.35">
      <c r="A495">
        <v>2025221681564</v>
      </c>
      <c r="B495">
        <v>2025</v>
      </c>
      <c r="C495">
        <v>221681564</v>
      </c>
      <c r="D495">
        <v>394610</v>
      </c>
      <c r="E495">
        <v>271789</v>
      </c>
      <c r="F495">
        <v>-2.0805400000000001</v>
      </c>
      <c r="G495">
        <v>52.344149999999999</v>
      </c>
      <c r="H495">
        <v>22</v>
      </c>
      <c r="I495">
        <v>2</v>
      </c>
      <c r="J495" t="str">
        <f>VLOOKUP(I495, Lookups!$B$1:$C$4, 2, FALSE)</f>
        <v>Serious</v>
      </c>
      <c r="K495">
        <v>2</v>
      </c>
      <c r="L495">
        <v>3</v>
      </c>
      <c r="M495" s="1">
        <v>46002</v>
      </c>
      <c r="N495">
        <v>5</v>
      </c>
      <c r="O495" t="str">
        <f>VLOOKUP(N495, Lookups!$B$6:$C$12, 2, FALSE)</f>
        <v>Thursday</v>
      </c>
      <c r="P495" s="2">
        <v>0.46875</v>
      </c>
      <c r="Q495">
        <v>-1</v>
      </c>
      <c r="R495" t="s">
        <v>47</v>
      </c>
      <c r="S495" t="s">
        <v>45</v>
      </c>
      <c r="T495" t="s">
        <v>45</v>
      </c>
      <c r="U495">
        <v>1</v>
      </c>
      <c r="V495" t="str">
        <f>VLOOKUP(U495, Lookups!$B$51:$C$57, 2, FALSE)</f>
        <v>M</v>
      </c>
      <c r="W495">
        <v>5</v>
      </c>
      <c r="X495" t="str">
        <f t="shared" ref="X495:X496" si="66">V495&amp;W495</f>
        <v>M5</v>
      </c>
      <c r="Y495">
        <v>3</v>
      </c>
      <c r="Z495" t="str">
        <f>VLOOKUP(Y495, Lookups!$B$14:$C$21, 2, FALSE)</f>
        <v>Dual carriageway</v>
      </c>
      <c r="AA495">
        <v>70</v>
      </c>
      <c r="AB495">
        <v>-1</v>
      </c>
      <c r="AC495">
        <v>0</v>
      </c>
      <c r="AD495">
        <v>-1</v>
      </c>
      <c r="AE495">
        <v>0</v>
      </c>
      <c r="AF495">
        <v>-1</v>
      </c>
      <c r="AG495">
        <v>-1</v>
      </c>
      <c r="AH495">
        <v>-1</v>
      </c>
      <c r="AI495">
        <v>0</v>
      </c>
      <c r="AJ495">
        <v>1</v>
      </c>
      <c r="AK495" t="str">
        <f>VLOOKUP(AJ495, Lookups!$B$23:$C$28, 2, FALSE)</f>
        <v>Daylight</v>
      </c>
      <c r="AL495">
        <v>1</v>
      </c>
      <c r="AM495" t="str">
        <f>VLOOKUP(AL495, Lookups!$B$30:$C$39, 2, FALSE)</f>
        <v>Fine / Clear</v>
      </c>
      <c r="AN495">
        <v>1</v>
      </c>
      <c r="AO495" t="str">
        <f>VLOOKUP(AN495, Lookups!$B$41:$C$49, 2, FALSE)</f>
        <v>Dry</v>
      </c>
      <c r="AP495">
        <v>-1</v>
      </c>
      <c r="AQ495">
        <v>-1</v>
      </c>
      <c r="AR495">
        <v>0</v>
      </c>
      <c r="AS495">
        <v>2</v>
      </c>
      <c r="AT495">
        <v>1</v>
      </c>
      <c r="AU495">
        <v>1</v>
      </c>
      <c r="AV495" t="s">
        <v>279</v>
      </c>
      <c r="AW495">
        <v>6</v>
      </c>
      <c r="AX495">
        <v>1</v>
      </c>
      <c r="AY495">
        <v>1</v>
      </c>
      <c r="AZ495">
        <v>0</v>
      </c>
    </row>
    <row r="496" spans="1:52" x14ac:dyDescent="0.35">
      <c r="A496">
        <v>2025221673465</v>
      </c>
      <c r="B496">
        <v>2025</v>
      </c>
      <c r="C496">
        <v>221673465</v>
      </c>
      <c r="D496">
        <v>381575</v>
      </c>
      <c r="E496">
        <v>277822</v>
      </c>
      <c r="F496">
        <v>-2.2722099999999998</v>
      </c>
      <c r="G496">
        <v>52.398099999999999</v>
      </c>
      <c r="H496">
        <v>22</v>
      </c>
      <c r="I496">
        <v>3</v>
      </c>
      <c r="J496" t="str">
        <f>VLOOKUP(I496, Lookups!$B$1:$C$4, 2, FALSE)</f>
        <v>Slight</v>
      </c>
      <c r="K496">
        <v>2</v>
      </c>
      <c r="L496">
        <v>1</v>
      </c>
      <c r="M496" s="1">
        <v>45982</v>
      </c>
      <c r="N496">
        <v>6</v>
      </c>
      <c r="O496" t="str">
        <f>VLOOKUP(N496, Lookups!$B$6:$C$12, 2, FALSE)</f>
        <v>Friday</v>
      </c>
      <c r="P496" s="2">
        <v>0.76041666666666663</v>
      </c>
      <c r="Q496">
        <v>-1</v>
      </c>
      <c r="R496" t="s">
        <v>44</v>
      </c>
      <c r="S496" t="s">
        <v>45</v>
      </c>
      <c r="T496" t="s">
        <v>45</v>
      </c>
      <c r="U496">
        <v>4</v>
      </c>
      <c r="V496" t="str">
        <f>VLOOKUP(U496, Lookups!$B$51:$C$57, 2, FALSE)</f>
        <v>B</v>
      </c>
      <c r="W496">
        <v>4190</v>
      </c>
      <c r="X496" t="str">
        <f t="shared" si="66"/>
        <v>B4190</v>
      </c>
      <c r="Y496">
        <v>6</v>
      </c>
      <c r="Z496" t="str">
        <f>VLOOKUP(Y496, Lookups!$B$14:$C$21, 2, FALSE)</f>
        <v>Single carriageway</v>
      </c>
      <c r="AA496">
        <v>30</v>
      </c>
      <c r="AB496">
        <v>-1</v>
      </c>
      <c r="AC496">
        <v>13</v>
      </c>
      <c r="AD496">
        <v>4</v>
      </c>
      <c r="AE496">
        <v>6</v>
      </c>
      <c r="AF496">
        <v>0</v>
      </c>
      <c r="AG496">
        <v>-1</v>
      </c>
      <c r="AH496">
        <v>-1</v>
      </c>
      <c r="AI496">
        <v>0</v>
      </c>
      <c r="AJ496">
        <v>4</v>
      </c>
      <c r="AK496" t="str">
        <f>VLOOKUP(AJ496, Lookups!$B$23:$C$28, 2, FALSE)</f>
        <v>Darkness (Lit)</v>
      </c>
      <c r="AL496">
        <v>1</v>
      </c>
      <c r="AM496" t="str">
        <f>VLOOKUP(AL496, Lookups!$B$30:$C$39, 2, FALSE)</f>
        <v>Fine / Clear</v>
      </c>
      <c r="AN496">
        <v>1</v>
      </c>
      <c r="AO496" t="str">
        <f>VLOOKUP(AN496, Lookups!$B$41:$C$49, 2, FALSE)</f>
        <v>Dry</v>
      </c>
      <c r="AP496">
        <v>-1</v>
      </c>
      <c r="AQ496">
        <v>-1</v>
      </c>
      <c r="AR496">
        <v>0</v>
      </c>
      <c r="AS496">
        <v>1</v>
      </c>
      <c r="AT496">
        <v>1</v>
      </c>
      <c r="AU496">
        <v>2</v>
      </c>
      <c r="AV496" t="s">
        <v>207</v>
      </c>
      <c r="AW496">
        <v>3</v>
      </c>
      <c r="AX496">
        <v>1</v>
      </c>
      <c r="AY496">
        <v>0</v>
      </c>
      <c r="AZ496">
        <v>1</v>
      </c>
    </row>
    <row r="497" spans="1:52" x14ac:dyDescent="0.35">
      <c r="A497">
        <v>2025221550172</v>
      </c>
      <c r="B497">
        <v>2025</v>
      </c>
      <c r="C497">
        <v>221550172</v>
      </c>
      <c r="D497">
        <v>396174</v>
      </c>
      <c r="E497">
        <v>274020</v>
      </c>
      <c r="F497">
        <v>-2.0576099999999999</v>
      </c>
      <c r="G497">
        <v>52.364220000000003</v>
      </c>
      <c r="H497">
        <v>22</v>
      </c>
      <c r="I497">
        <v>3</v>
      </c>
      <c r="J497" t="str">
        <f>VLOOKUP(I497, Lookups!$B$1:$C$4, 2, FALSE)</f>
        <v>Slight</v>
      </c>
      <c r="K497">
        <v>2</v>
      </c>
      <c r="L497">
        <v>2</v>
      </c>
      <c r="M497" s="1">
        <v>45687</v>
      </c>
      <c r="N497">
        <v>5</v>
      </c>
      <c r="O497" t="str">
        <f>VLOOKUP(N497, Lookups!$B$6:$C$12, 2, FALSE)</f>
        <v>Thursday</v>
      </c>
      <c r="P497" s="2">
        <v>0.40972222222222221</v>
      </c>
      <c r="Q497">
        <v>-1</v>
      </c>
      <c r="R497" t="s">
        <v>47</v>
      </c>
      <c r="S497" t="s">
        <v>45</v>
      </c>
      <c r="T497" t="s">
        <v>45</v>
      </c>
      <c r="U497">
        <v>6</v>
      </c>
      <c r="V497" t="str">
        <f>VLOOKUP(U497, Lookups!$B$51:$C$57, 2, FALSE)</f>
        <v>Unclassified</v>
      </c>
      <c r="W497">
        <v>0</v>
      </c>
      <c r="X497" t="s">
        <v>362</v>
      </c>
      <c r="Y497">
        <v>6</v>
      </c>
      <c r="Z497" t="str">
        <f>VLOOKUP(Y497, Lookups!$B$14:$C$21, 2, FALSE)</f>
        <v>Single carriageway</v>
      </c>
      <c r="AA497">
        <v>30</v>
      </c>
      <c r="AB497">
        <v>-1</v>
      </c>
      <c r="AC497">
        <v>0</v>
      </c>
      <c r="AD497">
        <v>-1</v>
      </c>
      <c r="AE497">
        <v>6</v>
      </c>
      <c r="AF497">
        <v>0</v>
      </c>
      <c r="AG497">
        <v>-1</v>
      </c>
      <c r="AH497">
        <v>-1</v>
      </c>
      <c r="AI497">
        <v>0</v>
      </c>
      <c r="AJ497">
        <v>1</v>
      </c>
      <c r="AK497" t="str">
        <f>VLOOKUP(AJ497, Lookups!$B$23:$C$28, 2, FALSE)</f>
        <v>Daylight</v>
      </c>
      <c r="AL497">
        <v>1</v>
      </c>
      <c r="AM497" t="str">
        <f>VLOOKUP(AL497, Lookups!$B$30:$C$39, 2, FALSE)</f>
        <v>Fine / Clear</v>
      </c>
      <c r="AN497">
        <v>1</v>
      </c>
      <c r="AO497" t="str">
        <f>VLOOKUP(AN497, Lookups!$B$41:$C$49, 2, FALSE)</f>
        <v>Dry</v>
      </c>
      <c r="AP497">
        <v>-1</v>
      </c>
      <c r="AQ497">
        <v>-1</v>
      </c>
      <c r="AR497">
        <v>0</v>
      </c>
      <c r="AS497">
        <v>1</v>
      </c>
      <c r="AT497">
        <v>1</v>
      </c>
      <c r="AU497">
        <v>2</v>
      </c>
      <c r="AV497" t="s">
        <v>280</v>
      </c>
      <c r="AW497">
        <v>3</v>
      </c>
      <c r="AX497">
        <v>1</v>
      </c>
      <c r="AY497">
        <v>0</v>
      </c>
      <c r="AZ497">
        <v>1</v>
      </c>
    </row>
    <row r="498" spans="1:52" x14ac:dyDescent="0.35">
      <c r="A498">
        <v>2025221563006</v>
      </c>
      <c r="B498">
        <v>2025</v>
      </c>
      <c r="C498">
        <v>221563006</v>
      </c>
      <c r="D498">
        <v>384794</v>
      </c>
      <c r="E498">
        <v>255415</v>
      </c>
      <c r="F498">
        <v>-2.2238899999999999</v>
      </c>
      <c r="G498">
        <v>52.196759999999998</v>
      </c>
      <c r="H498">
        <v>22</v>
      </c>
      <c r="I498">
        <v>2</v>
      </c>
      <c r="J498" t="str">
        <f>VLOOKUP(I498, Lookups!$B$1:$C$4, 2, FALSE)</f>
        <v>Serious</v>
      </c>
      <c r="K498">
        <v>2</v>
      </c>
      <c r="L498">
        <v>3</v>
      </c>
      <c r="M498" s="1">
        <v>45725</v>
      </c>
      <c r="N498">
        <v>1</v>
      </c>
      <c r="O498" t="str">
        <f>VLOOKUP(N498, Lookups!$B$6:$C$12, 2, FALSE)</f>
        <v>Sunday</v>
      </c>
      <c r="P498" s="2">
        <v>0.65833333333333333</v>
      </c>
      <c r="Q498">
        <v>-1</v>
      </c>
      <c r="R498" t="s">
        <v>60</v>
      </c>
      <c r="S498" t="s">
        <v>45</v>
      </c>
      <c r="T498" t="s">
        <v>45</v>
      </c>
      <c r="U498">
        <v>3</v>
      </c>
      <c r="V498" t="str">
        <f>VLOOKUP(U498, Lookups!$B$51:$C$57, 2, FALSE)</f>
        <v>A</v>
      </c>
      <c r="W498">
        <v>449</v>
      </c>
      <c r="X498" t="str">
        <f>V498&amp;W498</f>
        <v>A449</v>
      </c>
      <c r="Y498">
        <v>6</v>
      </c>
      <c r="Z498" t="str">
        <f>VLOOKUP(Y498, Lookups!$B$14:$C$21, 2, FALSE)</f>
        <v>Single carriageway</v>
      </c>
      <c r="AA498">
        <v>30</v>
      </c>
      <c r="AB498">
        <v>-1</v>
      </c>
      <c r="AC498">
        <v>13</v>
      </c>
      <c r="AD498">
        <v>4</v>
      </c>
      <c r="AE498">
        <v>6</v>
      </c>
      <c r="AF498">
        <v>0</v>
      </c>
      <c r="AG498">
        <v>-1</v>
      </c>
      <c r="AH498">
        <v>-1</v>
      </c>
      <c r="AI498">
        <v>0</v>
      </c>
      <c r="AJ498">
        <v>1</v>
      </c>
      <c r="AK498" t="str">
        <f>VLOOKUP(AJ498, Lookups!$B$23:$C$28, 2, FALSE)</f>
        <v>Daylight</v>
      </c>
      <c r="AL498">
        <v>1</v>
      </c>
      <c r="AM498" t="str">
        <f>VLOOKUP(AL498, Lookups!$B$30:$C$39, 2, FALSE)</f>
        <v>Fine / Clear</v>
      </c>
      <c r="AN498">
        <v>1</v>
      </c>
      <c r="AO498" t="str">
        <f>VLOOKUP(AN498, Lookups!$B$41:$C$49, 2, FALSE)</f>
        <v>Dry</v>
      </c>
      <c r="AP498">
        <v>-1</v>
      </c>
      <c r="AQ498">
        <v>-1</v>
      </c>
      <c r="AR498">
        <v>0</v>
      </c>
      <c r="AS498">
        <v>1</v>
      </c>
      <c r="AT498">
        <v>1</v>
      </c>
      <c r="AU498">
        <v>2</v>
      </c>
      <c r="AV498" t="s">
        <v>88</v>
      </c>
      <c r="AW498">
        <v>7</v>
      </c>
      <c r="AX498">
        <v>1</v>
      </c>
      <c r="AY498">
        <v>1</v>
      </c>
      <c r="AZ498">
        <v>0</v>
      </c>
    </row>
    <row r="499" spans="1:52" x14ac:dyDescent="0.35">
      <c r="A499">
        <v>2025221625781</v>
      </c>
      <c r="B499">
        <v>2025</v>
      </c>
      <c r="C499">
        <v>221625781</v>
      </c>
      <c r="D499">
        <v>386522</v>
      </c>
      <c r="E499">
        <v>273521</v>
      </c>
      <c r="F499">
        <v>-2.1993399999999999</v>
      </c>
      <c r="G499">
        <v>52.359580000000001</v>
      </c>
      <c r="H499">
        <v>22</v>
      </c>
      <c r="I499">
        <v>3</v>
      </c>
      <c r="J499" t="str">
        <f>VLOOKUP(I499, Lookups!$B$1:$C$4, 2, FALSE)</f>
        <v>Slight</v>
      </c>
      <c r="K499">
        <v>1</v>
      </c>
      <c r="L499">
        <v>2</v>
      </c>
      <c r="M499" s="1">
        <v>45842</v>
      </c>
      <c r="N499">
        <v>6</v>
      </c>
      <c r="O499" t="str">
        <f>VLOOKUP(N499, Lookups!$B$6:$C$12, 2, FALSE)</f>
        <v>Friday</v>
      </c>
      <c r="P499" s="2">
        <v>0.73750000000000004</v>
      </c>
      <c r="Q499">
        <v>-1</v>
      </c>
      <c r="R499" t="s">
        <v>44</v>
      </c>
      <c r="S499" t="s">
        <v>45</v>
      </c>
      <c r="T499" t="s">
        <v>45</v>
      </c>
      <c r="U499">
        <v>6</v>
      </c>
      <c r="V499" t="str">
        <f>VLOOKUP(U499, Lookups!$B$51:$C$57, 2, FALSE)</f>
        <v>Unclassified</v>
      </c>
      <c r="W499">
        <v>0</v>
      </c>
      <c r="X499" t="s">
        <v>362</v>
      </c>
      <c r="Y499">
        <v>6</v>
      </c>
      <c r="Z499" t="str">
        <f>VLOOKUP(Y499, Lookups!$B$14:$C$21, 2, FALSE)</f>
        <v>Single carriageway</v>
      </c>
      <c r="AA499">
        <v>30</v>
      </c>
      <c r="AB499">
        <v>-1</v>
      </c>
      <c r="AC499">
        <v>0</v>
      </c>
      <c r="AD499">
        <v>-1</v>
      </c>
      <c r="AE499">
        <v>6</v>
      </c>
      <c r="AF499">
        <v>0</v>
      </c>
      <c r="AG499">
        <v>-1</v>
      </c>
      <c r="AH499">
        <v>-1</v>
      </c>
      <c r="AI499">
        <v>0</v>
      </c>
      <c r="AJ499">
        <v>1</v>
      </c>
      <c r="AK499" t="str">
        <f>VLOOKUP(AJ499, Lookups!$B$23:$C$28, 2, FALSE)</f>
        <v>Daylight</v>
      </c>
      <c r="AL499">
        <v>1</v>
      </c>
      <c r="AM499" t="str">
        <f>VLOOKUP(AL499, Lookups!$B$30:$C$39, 2, FALSE)</f>
        <v>Fine / Clear</v>
      </c>
      <c r="AN499">
        <v>1</v>
      </c>
      <c r="AO499" t="str">
        <f>VLOOKUP(AN499, Lookups!$B$41:$C$49, 2, FALSE)</f>
        <v>Dry</v>
      </c>
      <c r="AP499">
        <v>-1</v>
      </c>
      <c r="AQ499">
        <v>-1</v>
      </c>
      <c r="AR499">
        <v>0</v>
      </c>
      <c r="AS499">
        <v>2</v>
      </c>
      <c r="AT499">
        <v>1</v>
      </c>
      <c r="AU499">
        <v>2</v>
      </c>
      <c r="AV499" t="s">
        <v>229</v>
      </c>
      <c r="AW499">
        <v>3</v>
      </c>
      <c r="AX499">
        <v>1</v>
      </c>
      <c r="AY499">
        <v>0</v>
      </c>
      <c r="AZ499">
        <v>1</v>
      </c>
    </row>
    <row r="500" spans="1:52" x14ac:dyDescent="0.35">
      <c r="A500">
        <v>2025221569318</v>
      </c>
      <c r="B500">
        <v>2025</v>
      </c>
      <c r="C500">
        <v>221569318</v>
      </c>
      <c r="D500">
        <v>384935</v>
      </c>
      <c r="E500">
        <v>255211</v>
      </c>
      <c r="F500">
        <v>-2.2218100000000001</v>
      </c>
      <c r="G500">
        <v>52.194929999999999</v>
      </c>
      <c r="H500">
        <v>22</v>
      </c>
      <c r="I500">
        <v>2</v>
      </c>
      <c r="J500" t="str">
        <f>VLOOKUP(I500, Lookups!$B$1:$C$4, 2, FALSE)</f>
        <v>Serious</v>
      </c>
      <c r="K500">
        <v>1</v>
      </c>
      <c r="L500">
        <v>1</v>
      </c>
      <c r="M500" s="1">
        <v>45742</v>
      </c>
      <c r="N500">
        <v>4</v>
      </c>
      <c r="O500" t="str">
        <f>VLOOKUP(N500, Lookups!$B$6:$C$12, 2, FALSE)</f>
        <v>Wednesday</v>
      </c>
      <c r="P500" s="2">
        <v>0.3125</v>
      </c>
      <c r="Q500">
        <v>-1</v>
      </c>
      <c r="R500" t="s">
        <v>60</v>
      </c>
      <c r="S500" t="s">
        <v>45</v>
      </c>
      <c r="T500" t="s">
        <v>45</v>
      </c>
      <c r="U500">
        <v>3</v>
      </c>
      <c r="V500" t="str">
        <f>VLOOKUP(U500, Lookups!$B$51:$C$57, 2, FALSE)</f>
        <v>A</v>
      </c>
      <c r="W500">
        <v>38</v>
      </c>
      <c r="X500" t="str">
        <f t="shared" ref="X500:X501" si="67">V500&amp;W500</f>
        <v>A38</v>
      </c>
      <c r="Y500">
        <v>6</v>
      </c>
      <c r="Z500" t="str">
        <f>VLOOKUP(Y500, Lookups!$B$14:$C$21, 2, FALSE)</f>
        <v>Single carriageway</v>
      </c>
      <c r="AA500">
        <v>30</v>
      </c>
      <c r="AB500">
        <v>-1</v>
      </c>
      <c r="AC500">
        <v>0</v>
      </c>
      <c r="AD500">
        <v>-1</v>
      </c>
      <c r="AE500">
        <v>6</v>
      </c>
      <c r="AF500">
        <v>0</v>
      </c>
      <c r="AG500">
        <v>-1</v>
      </c>
      <c r="AH500">
        <v>-1</v>
      </c>
      <c r="AI500">
        <v>14</v>
      </c>
      <c r="AJ500">
        <v>1</v>
      </c>
      <c r="AK500" t="str">
        <f>VLOOKUP(AJ500, Lookups!$B$23:$C$28, 2, FALSE)</f>
        <v>Daylight</v>
      </c>
      <c r="AL500">
        <v>1</v>
      </c>
      <c r="AM500" t="str">
        <f>VLOOKUP(AL500, Lookups!$B$30:$C$39, 2, FALSE)</f>
        <v>Fine / Clear</v>
      </c>
      <c r="AN500">
        <v>1</v>
      </c>
      <c r="AO500" t="str">
        <f>VLOOKUP(AN500, Lookups!$B$41:$C$49, 2, FALSE)</f>
        <v>Dry</v>
      </c>
      <c r="AP500">
        <v>-1</v>
      </c>
      <c r="AQ500">
        <v>-1</v>
      </c>
      <c r="AR500">
        <v>0</v>
      </c>
      <c r="AS500">
        <v>1</v>
      </c>
      <c r="AT500">
        <v>1</v>
      </c>
      <c r="AU500">
        <v>2</v>
      </c>
      <c r="AV500" t="s">
        <v>88</v>
      </c>
      <c r="AW500">
        <v>5</v>
      </c>
      <c r="AX500">
        <v>1</v>
      </c>
      <c r="AY500">
        <v>1</v>
      </c>
      <c r="AZ500">
        <v>0</v>
      </c>
    </row>
    <row r="501" spans="1:52" x14ac:dyDescent="0.35">
      <c r="A501">
        <v>2025221593929</v>
      </c>
      <c r="B501">
        <v>2025</v>
      </c>
      <c r="C501">
        <v>221593929</v>
      </c>
      <c r="D501">
        <v>387006</v>
      </c>
      <c r="E501">
        <v>258198</v>
      </c>
      <c r="F501">
        <v>-2.19163</v>
      </c>
      <c r="G501">
        <v>52.221829999999997</v>
      </c>
      <c r="H501">
        <v>22</v>
      </c>
      <c r="I501">
        <v>3</v>
      </c>
      <c r="J501" t="str">
        <f>VLOOKUP(I501, Lookups!$B$1:$C$4, 2, FALSE)</f>
        <v>Slight</v>
      </c>
      <c r="K501">
        <v>1</v>
      </c>
      <c r="L501">
        <v>1</v>
      </c>
      <c r="M501" s="1">
        <v>45788</v>
      </c>
      <c r="N501">
        <v>1</v>
      </c>
      <c r="O501" t="str">
        <f>VLOOKUP(N501, Lookups!$B$6:$C$12, 2, FALSE)</f>
        <v>Sunday</v>
      </c>
      <c r="P501" s="2">
        <v>0.27361111111111114</v>
      </c>
      <c r="Q501">
        <v>-1</v>
      </c>
      <c r="R501" t="s">
        <v>60</v>
      </c>
      <c r="S501" t="s">
        <v>45</v>
      </c>
      <c r="T501" t="s">
        <v>45</v>
      </c>
      <c r="U501">
        <v>3</v>
      </c>
      <c r="V501" t="str">
        <f>VLOOKUP(U501, Lookups!$B$51:$C$57, 2, FALSE)</f>
        <v>A</v>
      </c>
      <c r="W501">
        <v>449</v>
      </c>
      <c r="X501" t="str">
        <f t="shared" si="67"/>
        <v>A449</v>
      </c>
      <c r="Y501">
        <v>3</v>
      </c>
      <c r="Z501" t="str">
        <f>VLOOKUP(Y501, Lookups!$B$14:$C$21, 2, FALSE)</f>
        <v>Dual carriageway</v>
      </c>
      <c r="AA501">
        <v>70</v>
      </c>
      <c r="AB501">
        <v>-1</v>
      </c>
      <c r="AC501">
        <v>19</v>
      </c>
      <c r="AD501">
        <v>4</v>
      </c>
      <c r="AE501">
        <v>3</v>
      </c>
      <c r="AF501">
        <v>449</v>
      </c>
      <c r="AG501">
        <v>-1</v>
      </c>
      <c r="AH501">
        <v>-1</v>
      </c>
      <c r="AI501">
        <v>0</v>
      </c>
      <c r="AJ501">
        <v>1</v>
      </c>
      <c r="AK501" t="str">
        <f>VLOOKUP(AJ501, Lookups!$B$23:$C$28, 2, FALSE)</f>
        <v>Daylight</v>
      </c>
      <c r="AL501">
        <v>1</v>
      </c>
      <c r="AM501" t="str">
        <f>VLOOKUP(AL501, Lookups!$B$30:$C$39, 2, FALSE)</f>
        <v>Fine / Clear</v>
      </c>
      <c r="AN501">
        <v>1</v>
      </c>
      <c r="AO501" t="str">
        <f>VLOOKUP(AN501, Lookups!$B$41:$C$49, 2, FALSE)</f>
        <v>Dry</v>
      </c>
      <c r="AP501">
        <v>-1</v>
      </c>
      <c r="AQ501">
        <v>-1</v>
      </c>
      <c r="AR501">
        <v>17</v>
      </c>
      <c r="AS501">
        <v>2</v>
      </c>
      <c r="AT501">
        <v>1</v>
      </c>
      <c r="AU501">
        <v>2</v>
      </c>
      <c r="AV501" t="s">
        <v>130</v>
      </c>
      <c r="AW501">
        <v>3</v>
      </c>
      <c r="AX501">
        <v>1</v>
      </c>
      <c r="AY501">
        <v>0</v>
      </c>
      <c r="AZ501">
        <v>1</v>
      </c>
    </row>
    <row r="502" spans="1:52" x14ac:dyDescent="0.35">
      <c r="A502">
        <v>2025221605198</v>
      </c>
      <c r="B502">
        <v>2025</v>
      </c>
      <c r="C502">
        <v>221605198</v>
      </c>
      <c r="D502">
        <v>390245</v>
      </c>
      <c r="E502">
        <v>263334</v>
      </c>
      <c r="F502">
        <v>-2.1443699999999999</v>
      </c>
      <c r="G502">
        <v>52.268079999999998</v>
      </c>
      <c r="H502">
        <v>22</v>
      </c>
      <c r="I502">
        <v>3</v>
      </c>
      <c r="J502" t="str">
        <f>VLOOKUP(I502, Lookups!$B$1:$C$4, 2, FALSE)</f>
        <v>Slight</v>
      </c>
      <c r="K502">
        <v>1</v>
      </c>
      <c r="L502">
        <v>1</v>
      </c>
      <c r="M502" s="1">
        <v>45827</v>
      </c>
      <c r="N502">
        <v>5</v>
      </c>
      <c r="O502" t="str">
        <f>VLOOKUP(N502, Lookups!$B$6:$C$12, 2, FALSE)</f>
        <v>Thursday</v>
      </c>
      <c r="P502" s="2">
        <v>0.41666666666666669</v>
      </c>
      <c r="Q502">
        <v>-1</v>
      </c>
      <c r="R502" t="s">
        <v>54</v>
      </c>
      <c r="S502" t="s">
        <v>45</v>
      </c>
      <c r="T502" t="s">
        <v>45</v>
      </c>
      <c r="U502">
        <v>6</v>
      </c>
      <c r="V502" t="str">
        <f>VLOOKUP(U502, Lookups!$B$51:$C$57, 2, FALSE)</f>
        <v>Unclassified</v>
      </c>
      <c r="W502">
        <v>0</v>
      </c>
      <c r="X502" t="s">
        <v>362</v>
      </c>
      <c r="Y502">
        <v>6</v>
      </c>
      <c r="Z502" t="str">
        <f>VLOOKUP(Y502, Lookups!$B$14:$C$21, 2, FALSE)</f>
        <v>Single carriageway</v>
      </c>
      <c r="AA502">
        <v>30</v>
      </c>
      <c r="AB502">
        <v>-1</v>
      </c>
      <c r="AC502">
        <v>18</v>
      </c>
      <c r="AD502">
        <v>4</v>
      </c>
      <c r="AE502">
        <v>6</v>
      </c>
      <c r="AF502">
        <v>0</v>
      </c>
      <c r="AG502">
        <v>-1</v>
      </c>
      <c r="AH502">
        <v>-1</v>
      </c>
      <c r="AI502">
        <v>0</v>
      </c>
      <c r="AJ502">
        <v>1</v>
      </c>
      <c r="AK502" t="str">
        <f>VLOOKUP(AJ502, Lookups!$B$23:$C$28, 2, FALSE)</f>
        <v>Daylight</v>
      </c>
      <c r="AL502">
        <v>1</v>
      </c>
      <c r="AM502" t="str">
        <f>VLOOKUP(AL502, Lookups!$B$30:$C$39, 2, FALSE)</f>
        <v>Fine / Clear</v>
      </c>
      <c r="AN502">
        <v>1</v>
      </c>
      <c r="AO502" t="str">
        <f>VLOOKUP(AN502, Lookups!$B$41:$C$49, 2, FALSE)</f>
        <v>Dry</v>
      </c>
      <c r="AP502">
        <v>-1</v>
      </c>
      <c r="AQ502">
        <v>-1</v>
      </c>
      <c r="AR502">
        <v>0</v>
      </c>
      <c r="AS502">
        <v>1</v>
      </c>
      <c r="AT502">
        <v>3</v>
      </c>
      <c r="AU502">
        <v>2</v>
      </c>
      <c r="AV502" t="s">
        <v>177</v>
      </c>
      <c r="AW502">
        <v>3</v>
      </c>
      <c r="AX502">
        <v>1</v>
      </c>
      <c r="AY502">
        <v>0</v>
      </c>
      <c r="AZ502">
        <v>1</v>
      </c>
    </row>
    <row r="503" spans="1:52" x14ac:dyDescent="0.35">
      <c r="A503">
        <v>2025221668581</v>
      </c>
      <c r="B503">
        <v>2025</v>
      </c>
      <c r="C503">
        <v>221668581</v>
      </c>
      <c r="D503">
        <v>397109</v>
      </c>
      <c r="E503">
        <v>272582</v>
      </c>
      <c r="F503">
        <v>-2.0438700000000001</v>
      </c>
      <c r="G503">
        <v>52.351300000000002</v>
      </c>
      <c r="H503">
        <v>22</v>
      </c>
      <c r="I503">
        <v>2</v>
      </c>
      <c r="J503" t="str">
        <f>VLOOKUP(I503, Lookups!$B$1:$C$4, 2, FALSE)</f>
        <v>Serious</v>
      </c>
      <c r="K503">
        <v>2</v>
      </c>
      <c r="L503">
        <v>1</v>
      </c>
      <c r="M503" s="1">
        <v>45975</v>
      </c>
      <c r="N503">
        <v>6</v>
      </c>
      <c r="O503" t="str">
        <f>VLOOKUP(N503, Lookups!$B$6:$C$12, 2, FALSE)</f>
        <v>Friday</v>
      </c>
      <c r="P503" s="2">
        <v>0.69097222222222221</v>
      </c>
      <c r="Q503">
        <v>-1</v>
      </c>
      <c r="R503" t="s">
        <v>47</v>
      </c>
      <c r="S503" t="s">
        <v>45</v>
      </c>
      <c r="T503" t="s">
        <v>45</v>
      </c>
      <c r="U503">
        <v>4</v>
      </c>
      <c r="V503" t="str">
        <f>VLOOKUP(U503, Lookups!$B$51:$C$57, 2, FALSE)</f>
        <v>B</v>
      </c>
      <c r="W503">
        <v>4096</v>
      </c>
      <c r="X503" t="str">
        <f t="shared" ref="X503:X505" si="68">V503&amp;W503</f>
        <v>B4096</v>
      </c>
      <c r="Y503">
        <v>6</v>
      </c>
      <c r="Z503" t="str">
        <f>VLOOKUP(Y503, Lookups!$B$14:$C$21, 2, FALSE)</f>
        <v>Single carriageway</v>
      </c>
      <c r="AA503">
        <v>30</v>
      </c>
      <c r="AB503">
        <v>-1</v>
      </c>
      <c r="AC503">
        <v>0</v>
      </c>
      <c r="AD503">
        <v>-1</v>
      </c>
      <c r="AE503">
        <v>6</v>
      </c>
      <c r="AF503">
        <v>0</v>
      </c>
      <c r="AG503">
        <v>-1</v>
      </c>
      <c r="AH503">
        <v>-1</v>
      </c>
      <c r="AI503">
        <v>13</v>
      </c>
      <c r="AJ503">
        <v>4</v>
      </c>
      <c r="AK503" t="str">
        <f>VLOOKUP(AJ503, Lookups!$B$23:$C$28, 2, FALSE)</f>
        <v>Darkness (Lit)</v>
      </c>
      <c r="AL503">
        <v>5</v>
      </c>
      <c r="AM503" t="str">
        <f>VLOOKUP(AL503, Lookups!$B$30:$C$39, 2, FALSE)</f>
        <v>Rain &amp; High Winds</v>
      </c>
      <c r="AN503">
        <v>2</v>
      </c>
      <c r="AO503" t="str">
        <f>VLOOKUP(AN503, Lookups!$B$41:$C$49, 2, FALSE)</f>
        <v>Wet / damp</v>
      </c>
      <c r="AP503">
        <v>-1</v>
      </c>
      <c r="AQ503">
        <v>-1</v>
      </c>
      <c r="AR503">
        <v>0</v>
      </c>
      <c r="AS503">
        <v>1</v>
      </c>
      <c r="AT503">
        <v>1</v>
      </c>
      <c r="AU503">
        <v>2</v>
      </c>
      <c r="AV503" t="s">
        <v>169</v>
      </c>
      <c r="AW503">
        <v>7</v>
      </c>
      <c r="AX503">
        <v>1</v>
      </c>
      <c r="AY503">
        <v>1</v>
      </c>
      <c r="AZ503">
        <v>0</v>
      </c>
    </row>
    <row r="504" spans="1:52" x14ac:dyDescent="0.35">
      <c r="A504">
        <v>2025221593502</v>
      </c>
      <c r="B504">
        <v>2025</v>
      </c>
      <c r="C504">
        <v>221593502</v>
      </c>
      <c r="D504">
        <v>388390</v>
      </c>
      <c r="E504">
        <v>253992</v>
      </c>
      <c r="F504">
        <v>-2.17123</v>
      </c>
      <c r="G504">
        <v>52.184049999999999</v>
      </c>
      <c r="H504">
        <v>22</v>
      </c>
      <c r="I504">
        <v>3</v>
      </c>
      <c r="J504" t="str">
        <f>VLOOKUP(I504, Lookups!$B$1:$C$4, 2, FALSE)</f>
        <v>Slight</v>
      </c>
      <c r="K504">
        <v>3</v>
      </c>
      <c r="L504">
        <v>1</v>
      </c>
      <c r="M504" s="1">
        <v>45799</v>
      </c>
      <c r="N504">
        <v>5</v>
      </c>
      <c r="O504" t="str">
        <f>VLOOKUP(N504, Lookups!$B$6:$C$12, 2, FALSE)</f>
        <v>Thursday</v>
      </c>
      <c r="P504" s="2">
        <v>0.60416666666666663</v>
      </c>
      <c r="Q504">
        <v>-1</v>
      </c>
      <c r="R504" t="s">
        <v>54</v>
      </c>
      <c r="S504" t="s">
        <v>45</v>
      </c>
      <c r="T504" t="s">
        <v>45</v>
      </c>
      <c r="U504">
        <v>1</v>
      </c>
      <c r="V504" t="str">
        <f>VLOOKUP(U504, Lookups!$B$51:$C$57, 2, FALSE)</f>
        <v>M</v>
      </c>
      <c r="W504">
        <v>5</v>
      </c>
      <c r="X504" t="str">
        <f t="shared" si="68"/>
        <v>M5</v>
      </c>
      <c r="Y504">
        <v>3</v>
      </c>
      <c r="Z504" t="str">
        <f>VLOOKUP(Y504, Lookups!$B$14:$C$21, 2, FALSE)</f>
        <v>Dual carriageway</v>
      </c>
      <c r="AA504">
        <v>70</v>
      </c>
      <c r="AB504">
        <v>-1</v>
      </c>
      <c r="AC504">
        <v>0</v>
      </c>
      <c r="AD504">
        <v>-1</v>
      </c>
      <c r="AE504">
        <v>0</v>
      </c>
      <c r="AF504">
        <v>-1</v>
      </c>
      <c r="AG504">
        <v>-1</v>
      </c>
      <c r="AH504">
        <v>-1</v>
      </c>
      <c r="AI504">
        <v>0</v>
      </c>
      <c r="AJ504">
        <v>1</v>
      </c>
      <c r="AK504" t="str">
        <f>VLOOKUP(AJ504, Lookups!$B$23:$C$28, 2, FALSE)</f>
        <v>Daylight</v>
      </c>
      <c r="AL504">
        <v>1</v>
      </c>
      <c r="AM504" t="str">
        <f>VLOOKUP(AL504, Lookups!$B$30:$C$39, 2, FALSE)</f>
        <v>Fine / Clear</v>
      </c>
      <c r="AN504">
        <v>1</v>
      </c>
      <c r="AO504" t="str">
        <f>VLOOKUP(AN504, Lookups!$B$41:$C$49, 2, FALSE)</f>
        <v>Dry</v>
      </c>
      <c r="AP504">
        <v>-1</v>
      </c>
      <c r="AQ504">
        <v>-1</v>
      </c>
      <c r="AR504">
        <v>0</v>
      </c>
      <c r="AS504">
        <v>2</v>
      </c>
      <c r="AT504">
        <v>3</v>
      </c>
      <c r="AU504">
        <v>1</v>
      </c>
      <c r="AV504" t="s">
        <v>55</v>
      </c>
      <c r="AW504">
        <v>3</v>
      </c>
      <c r="AX504">
        <v>1</v>
      </c>
      <c r="AY504">
        <v>0</v>
      </c>
      <c r="AZ504">
        <v>1</v>
      </c>
    </row>
    <row r="505" spans="1:52" x14ac:dyDescent="0.35">
      <c r="A505">
        <v>2025221660487</v>
      </c>
      <c r="B505">
        <v>2025</v>
      </c>
      <c r="C505">
        <v>221660487</v>
      </c>
      <c r="D505">
        <v>387382</v>
      </c>
      <c r="E505">
        <v>253243</v>
      </c>
      <c r="F505">
        <v>-2.18594</v>
      </c>
      <c r="G505">
        <v>52.177300000000002</v>
      </c>
      <c r="H505">
        <v>22</v>
      </c>
      <c r="I505">
        <v>3</v>
      </c>
      <c r="J505" t="str">
        <f>VLOOKUP(I505, Lookups!$B$1:$C$4, 2, FALSE)</f>
        <v>Slight</v>
      </c>
      <c r="K505">
        <v>2</v>
      </c>
      <c r="L505">
        <v>1</v>
      </c>
      <c r="M505" s="1">
        <v>45956</v>
      </c>
      <c r="N505">
        <v>1</v>
      </c>
      <c r="O505" t="str">
        <f>VLOOKUP(N505, Lookups!$B$6:$C$12, 2, FALSE)</f>
        <v>Sunday</v>
      </c>
      <c r="P505" s="2">
        <v>0.59861111111111109</v>
      </c>
      <c r="Q505">
        <v>-1</v>
      </c>
      <c r="R505" t="s">
        <v>54</v>
      </c>
      <c r="S505" t="s">
        <v>45</v>
      </c>
      <c r="T505" t="s">
        <v>45</v>
      </c>
      <c r="U505">
        <v>3</v>
      </c>
      <c r="V505" t="str">
        <f>VLOOKUP(U505, Lookups!$B$51:$C$57, 2, FALSE)</f>
        <v>A</v>
      </c>
      <c r="W505">
        <v>4440</v>
      </c>
      <c r="X505" t="str">
        <f t="shared" si="68"/>
        <v>A4440</v>
      </c>
      <c r="Y505">
        <v>1</v>
      </c>
      <c r="Z505" t="str">
        <f>VLOOKUP(Y505, Lookups!$B$14:$C$21, 2, FALSE)</f>
        <v>Roundabout</v>
      </c>
      <c r="AA505">
        <v>40</v>
      </c>
      <c r="AB505">
        <v>-1</v>
      </c>
      <c r="AC505">
        <v>-1</v>
      </c>
      <c r="AD505">
        <v>4</v>
      </c>
      <c r="AE505">
        <v>3</v>
      </c>
      <c r="AF505">
        <v>4440</v>
      </c>
      <c r="AG505">
        <v>-1</v>
      </c>
      <c r="AH505">
        <v>-1</v>
      </c>
      <c r="AI505">
        <v>14</v>
      </c>
      <c r="AJ505">
        <v>1</v>
      </c>
      <c r="AK505" t="str">
        <f>VLOOKUP(AJ505, Lookups!$B$23:$C$28, 2, FALSE)</f>
        <v>Daylight</v>
      </c>
      <c r="AL505">
        <v>1</v>
      </c>
      <c r="AM505" t="str">
        <f>VLOOKUP(AL505, Lookups!$B$30:$C$39, 2, FALSE)</f>
        <v>Fine / Clear</v>
      </c>
      <c r="AN505">
        <v>1</v>
      </c>
      <c r="AO505" t="str">
        <f>VLOOKUP(AN505, Lookups!$B$41:$C$49, 2, FALSE)</f>
        <v>Dry</v>
      </c>
      <c r="AP505">
        <v>-1</v>
      </c>
      <c r="AQ505">
        <v>-1</v>
      </c>
      <c r="AR505">
        <v>0</v>
      </c>
      <c r="AS505">
        <v>2</v>
      </c>
      <c r="AT505">
        <v>2</v>
      </c>
      <c r="AU505">
        <v>2</v>
      </c>
      <c r="AV505" t="s">
        <v>132</v>
      </c>
      <c r="AW505">
        <v>3</v>
      </c>
      <c r="AX505">
        <v>1</v>
      </c>
      <c r="AY505">
        <v>0</v>
      </c>
      <c r="AZ505">
        <v>1</v>
      </c>
    </row>
    <row r="506" spans="1:52" x14ac:dyDescent="0.35">
      <c r="A506">
        <v>2025221643340</v>
      </c>
      <c r="B506">
        <v>2025</v>
      </c>
      <c r="C506">
        <v>221643340</v>
      </c>
      <c r="D506">
        <v>382971</v>
      </c>
      <c r="E506">
        <v>276254</v>
      </c>
      <c r="F506">
        <v>-2.25162</v>
      </c>
      <c r="G506">
        <v>52.384050000000002</v>
      </c>
      <c r="H506">
        <v>22</v>
      </c>
      <c r="I506">
        <v>3</v>
      </c>
      <c r="J506" t="str">
        <f>VLOOKUP(I506, Lookups!$B$1:$C$4, 2, FALSE)</f>
        <v>Slight</v>
      </c>
      <c r="K506">
        <v>2</v>
      </c>
      <c r="L506">
        <v>1</v>
      </c>
      <c r="M506" s="1">
        <v>45918</v>
      </c>
      <c r="N506">
        <v>5</v>
      </c>
      <c r="O506" t="str">
        <f>VLOOKUP(N506, Lookups!$B$6:$C$12, 2, FALSE)</f>
        <v>Thursday</v>
      </c>
      <c r="P506" s="2">
        <v>0.40277777777777779</v>
      </c>
      <c r="Q506">
        <v>-1</v>
      </c>
      <c r="R506" t="s">
        <v>44</v>
      </c>
      <c r="S506" t="s">
        <v>45</v>
      </c>
      <c r="T506" t="s">
        <v>45</v>
      </c>
      <c r="U506">
        <v>6</v>
      </c>
      <c r="V506" t="str">
        <f>VLOOKUP(U506, Lookups!$B$51:$C$57, 2, FALSE)</f>
        <v>Unclassified</v>
      </c>
      <c r="W506">
        <v>0</v>
      </c>
      <c r="X506" t="s">
        <v>362</v>
      </c>
      <c r="Y506">
        <v>6</v>
      </c>
      <c r="Z506" t="str">
        <f>VLOOKUP(Y506, Lookups!$B$14:$C$21, 2, FALSE)</f>
        <v>Single carriageway</v>
      </c>
      <c r="AA506">
        <v>30</v>
      </c>
      <c r="AB506">
        <v>-1</v>
      </c>
      <c r="AC506">
        <v>13</v>
      </c>
      <c r="AD506">
        <v>4</v>
      </c>
      <c r="AE506">
        <v>6</v>
      </c>
      <c r="AF506">
        <v>0</v>
      </c>
      <c r="AG506">
        <v>-1</v>
      </c>
      <c r="AH506">
        <v>-1</v>
      </c>
      <c r="AI506">
        <v>0</v>
      </c>
      <c r="AJ506">
        <v>1</v>
      </c>
      <c r="AK506" t="str">
        <f>VLOOKUP(AJ506, Lookups!$B$23:$C$28, 2, FALSE)</f>
        <v>Daylight</v>
      </c>
      <c r="AL506">
        <v>1</v>
      </c>
      <c r="AM506" t="str">
        <f>VLOOKUP(AL506, Lookups!$B$30:$C$39, 2, FALSE)</f>
        <v>Fine / Clear</v>
      </c>
      <c r="AN506">
        <v>1</v>
      </c>
      <c r="AO506" t="str">
        <f>VLOOKUP(AN506, Lookups!$B$41:$C$49, 2, FALSE)</f>
        <v>Dry</v>
      </c>
      <c r="AP506">
        <v>-1</v>
      </c>
      <c r="AQ506">
        <v>-1</v>
      </c>
      <c r="AR506">
        <v>0</v>
      </c>
      <c r="AS506">
        <v>1</v>
      </c>
      <c r="AT506">
        <v>2</v>
      </c>
      <c r="AU506">
        <v>2</v>
      </c>
      <c r="AV506" t="s">
        <v>281</v>
      </c>
      <c r="AW506">
        <v>3</v>
      </c>
      <c r="AX506">
        <v>1</v>
      </c>
      <c r="AY506">
        <v>0</v>
      </c>
      <c r="AZ506">
        <v>1</v>
      </c>
    </row>
    <row r="507" spans="1:52" x14ac:dyDescent="0.35">
      <c r="A507">
        <v>2025221647878</v>
      </c>
      <c r="B507">
        <v>2025</v>
      </c>
      <c r="C507">
        <v>221647878</v>
      </c>
      <c r="D507">
        <v>399343</v>
      </c>
      <c r="E507">
        <v>280469</v>
      </c>
      <c r="F507">
        <v>-2.0110899999999998</v>
      </c>
      <c r="G507">
        <v>52.42221</v>
      </c>
      <c r="H507">
        <v>22</v>
      </c>
      <c r="I507">
        <v>3</v>
      </c>
      <c r="J507" t="str">
        <f>VLOOKUP(I507, Lookups!$B$1:$C$4, 2, FALSE)</f>
        <v>Slight</v>
      </c>
      <c r="K507">
        <v>2</v>
      </c>
      <c r="L507">
        <v>1</v>
      </c>
      <c r="M507" s="1">
        <v>45928</v>
      </c>
      <c r="N507">
        <v>1</v>
      </c>
      <c r="O507" t="str">
        <f>VLOOKUP(N507, Lookups!$B$6:$C$12, 2, FALSE)</f>
        <v>Sunday</v>
      </c>
      <c r="P507" s="2">
        <v>0.54166666666666663</v>
      </c>
      <c r="Q507">
        <v>-1</v>
      </c>
      <c r="R507" t="s">
        <v>47</v>
      </c>
      <c r="S507" t="s">
        <v>45</v>
      </c>
      <c r="T507" t="s">
        <v>45</v>
      </c>
      <c r="U507">
        <v>6</v>
      </c>
      <c r="V507" t="str">
        <f>VLOOKUP(U507, Lookups!$B$51:$C$57, 2, FALSE)</f>
        <v>Unclassified</v>
      </c>
      <c r="W507">
        <v>0</v>
      </c>
      <c r="X507" t="s">
        <v>362</v>
      </c>
      <c r="Y507">
        <v>6</v>
      </c>
      <c r="Z507" t="str">
        <f>VLOOKUP(Y507, Lookups!$B$14:$C$21, 2, FALSE)</f>
        <v>Single carriageway</v>
      </c>
      <c r="AA507">
        <v>30</v>
      </c>
      <c r="AB507">
        <v>-1</v>
      </c>
      <c r="AC507">
        <v>0</v>
      </c>
      <c r="AD507">
        <v>-1</v>
      </c>
      <c r="AE507">
        <v>0</v>
      </c>
      <c r="AF507">
        <v>-1</v>
      </c>
      <c r="AG507">
        <v>-1</v>
      </c>
      <c r="AH507">
        <v>-1</v>
      </c>
      <c r="AI507">
        <v>0</v>
      </c>
      <c r="AJ507">
        <v>1</v>
      </c>
      <c r="AK507" t="str">
        <f>VLOOKUP(AJ507, Lookups!$B$23:$C$28, 2, FALSE)</f>
        <v>Daylight</v>
      </c>
      <c r="AL507">
        <v>1</v>
      </c>
      <c r="AM507" t="str">
        <f>VLOOKUP(AL507, Lookups!$B$30:$C$39, 2, FALSE)</f>
        <v>Fine / Clear</v>
      </c>
      <c r="AN507">
        <v>1</v>
      </c>
      <c r="AO507" t="str">
        <f>VLOOKUP(AN507, Lookups!$B$41:$C$49, 2, FALSE)</f>
        <v>Dry</v>
      </c>
      <c r="AP507">
        <v>-1</v>
      </c>
      <c r="AQ507">
        <v>-1</v>
      </c>
      <c r="AR507">
        <v>0</v>
      </c>
      <c r="AS507">
        <v>2</v>
      </c>
      <c r="AT507">
        <v>1</v>
      </c>
      <c r="AU507">
        <v>2</v>
      </c>
      <c r="AV507" t="s">
        <v>149</v>
      </c>
      <c r="AW507">
        <v>3</v>
      </c>
      <c r="AX507">
        <v>1</v>
      </c>
      <c r="AY507">
        <v>0</v>
      </c>
      <c r="AZ507">
        <v>1</v>
      </c>
    </row>
    <row r="508" spans="1:52" x14ac:dyDescent="0.35">
      <c r="A508">
        <v>2025221551315</v>
      </c>
      <c r="B508">
        <v>2025</v>
      </c>
      <c r="C508">
        <v>221551315</v>
      </c>
      <c r="D508">
        <v>406506</v>
      </c>
      <c r="E508">
        <v>246187</v>
      </c>
      <c r="F508">
        <v>-1.9064099999999999</v>
      </c>
      <c r="G508">
        <v>52.113970000000002</v>
      </c>
      <c r="H508">
        <v>22</v>
      </c>
      <c r="I508">
        <v>3</v>
      </c>
      <c r="J508" t="str">
        <f>VLOOKUP(I508, Lookups!$B$1:$C$4, 2, FALSE)</f>
        <v>Slight</v>
      </c>
      <c r="K508">
        <v>1</v>
      </c>
      <c r="L508">
        <v>1</v>
      </c>
      <c r="M508" s="1">
        <v>45694</v>
      </c>
      <c r="N508">
        <v>5</v>
      </c>
      <c r="O508" t="str">
        <f>VLOOKUP(N508, Lookups!$B$6:$C$12, 2, FALSE)</f>
        <v>Thursday</v>
      </c>
      <c r="P508" s="2">
        <v>0.47222222222222221</v>
      </c>
      <c r="Q508">
        <v>-1</v>
      </c>
      <c r="R508" t="s">
        <v>54</v>
      </c>
      <c r="S508" t="s">
        <v>45</v>
      </c>
      <c r="T508" t="s">
        <v>45</v>
      </c>
      <c r="U508">
        <v>4</v>
      </c>
      <c r="V508" t="str">
        <f>VLOOKUP(U508, Lookups!$B$51:$C$57, 2, FALSE)</f>
        <v>B</v>
      </c>
      <c r="W508">
        <v>4510</v>
      </c>
      <c r="X508" t="str">
        <f t="shared" ref="X508:X514" si="69">V508&amp;W508</f>
        <v>B4510</v>
      </c>
      <c r="Y508">
        <v>6</v>
      </c>
      <c r="Z508" t="str">
        <f>VLOOKUP(Y508, Lookups!$B$14:$C$21, 2, FALSE)</f>
        <v>Single carriageway</v>
      </c>
      <c r="AA508">
        <v>40</v>
      </c>
      <c r="AB508">
        <v>-1</v>
      </c>
      <c r="AC508">
        <v>13</v>
      </c>
      <c r="AD508">
        <v>4</v>
      </c>
      <c r="AE508">
        <v>6</v>
      </c>
      <c r="AF508">
        <v>0</v>
      </c>
      <c r="AG508">
        <v>-1</v>
      </c>
      <c r="AH508">
        <v>-1</v>
      </c>
      <c r="AI508">
        <v>0</v>
      </c>
      <c r="AJ508">
        <v>1</v>
      </c>
      <c r="AK508" t="str">
        <f>VLOOKUP(AJ508, Lookups!$B$23:$C$28, 2, FALSE)</f>
        <v>Daylight</v>
      </c>
      <c r="AL508">
        <v>1</v>
      </c>
      <c r="AM508" t="str">
        <f>VLOOKUP(AL508, Lookups!$B$30:$C$39, 2, FALSE)</f>
        <v>Fine / Clear</v>
      </c>
      <c r="AN508">
        <v>2</v>
      </c>
      <c r="AO508" t="str">
        <f>VLOOKUP(AN508, Lookups!$B$41:$C$49, 2, FALSE)</f>
        <v>Wet / damp</v>
      </c>
      <c r="AP508">
        <v>-1</v>
      </c>
      <c r="AQ508">
        <v>-1</v>
      </c>
      <c r="AR508">
        <v>0</v>
      </c>
      <c r="AS508">
        <v>2</v>
      </c>
      <c r="AT508">
        <v>1</v>
      </c>
      <c r="AU508">
        <v>2</v>
      </c>
      <c r="AV508" t="s">
        <v>162</v>
      </c>
      <c r="AW508">
        <v>3</v>
      </c>
      <c r="AX508">
        <v>1</v>
      </c>
      <c r="AY508">
        <v>0</v>
      </c>
      <c r="AZ508">
        <v>1</v>
      </c>
    </row>
    <row r="509" spans="1:52" x14ac:dyDescent="0.35">
      <c r="A509">
        <v>2025221560541</v>
      </c>
      <c r="B509">
        <v>2025</v>
      </c>
      <c r="C509">
        <v>221560541</v>
      </c>
      <c r="D509">
        <v>384590</v>
      </c>
      <c r="E509">
        <v>254704</v>
      </c>
      <c r="F509">
        <v>-2.2268400000000002</v>
      </c>
      <c r="G509">
        <v>52.190359999999998</v>
      </c>
      <c r="H509">
        <v>22</v>
      </c>
      <c r="I509">
        <v>3</v>
      </c>
      <c r="J509" t="str">
        <f>VLOOKUP(I509, Lookups!$B$1:$C$4, 2, FALSE)</f>
        <v>Slight</v>
      </c>
      <c r="K509">
        <v>2</v>
      </c>
      <c r="L509">
        <v>1</v>
      </c>
      <c r="M509" s="1">
        <v>45709</v>
      </c>
      <c r="N509">
        <v>6</v>
      </c>
      <c r="O509" t="str">
        <f>VLOOKUP(N509, Lookups!$B$6:$C$12, 2, FALSE)</f>
        <v>Friday</v>
      </c>
      <c r="P509" s="2">
        <v>0.7895833333333333</v>
      </c>
      <c r="Q509">
        <v>-1</v>
      </c>
      <c r="R509" t="s">
        <v>60</v>
      </c>
      <c r="S509" t="s">
        <v>45</v>
      </c>
      <c r="T509" t="s">
        <v>45</v>
      </c>
      <c r="U509">
        <v>3</v>
      </c>
      <c r="V509" t="str">
        <f>VLOOKUP(U509, Lookups!$B$51:$C$57, 2, FALSE)</f>
        <v>A</v>
      </c>
      <c r="W509">
        <v>44</v>
      </c>
      <c r="X509" t="str">
        <f t="shared" si="69"/>
        <v>A44</v>
      </c>
      <c r="Y509">
        <v>2</v>
      </c>
      <c r="Z509" t="str">
        <f>VLOOKUP(Y509, Lookups!$B$14:$C$21, 2, FALSE)</f>
        <v>One way street</v>
      </c>
      <c r="AA509">
        <v>30</v>
      </c>
      <c r="AB509">
        <v>-1</v>
      </c>
      <c r="AC509">
        <v>19</v>
      </c>
      <c r="AD509">
        <v>4</v>
      </c>
      <c r="AE509">
        <v>6</v>
      </c>
      <c r="AF509">
        <v>0</v>
      </c>
      <c r="AG509">
        <v>-1</v>
      </c>
      <c r="AH509">
        <v>-1</v>
      </c>
      <c r="AI509">
        <v>14</v>
      </c>
      <c r="AJ509">
        <v>4</v>
      </c>
      <c r="AK509" t="str">
        <f>VLOOKUP(AJ509, Lookups!$B$23:$C$28, 2, FALSE)</f>
        <v>Darkness (Lit)</v>
      </c>
      <c r="AL509">
        <v>1</v>
      </c>
      <c r="AM509" t="str">
        <f>VLOOKUP(AL509, Lookups!$B$30:$C$39, 2, FALSE)</f>
        <v>Fine / Clear</v>
      </c>
      <c r="AN509">
        <v>1</v>
      </c>
      <c r="AO509" t="str">
        <f>VLOOKUP(AN509, Lookups!$B$41:$C$49, 2, FALSE)</f>
        <v>Dry</v>
      </c>
      <c r="AP509">
        <v>-1</v>
      </c>
      <c r="AQ509">
        <v>-1</v>
      </c>
      <c r="AR509">
        <v>0</v>
      </c>
      <c r="AS509">
        <v>2</v>
      </c>
      <c r="AT509">
        <v>3</v>
      </c>
      <c r="AU509">
        <v>2</v>
      </c>
      <c r="AV509" t="s">
        <v>186</v>
      </c>
      <c r="AW509">
        <v>3</v>
      </c>
      <c r="AX509">
        <v>1</v>
      </c>
      <c r="AY509">
        <v>0</v>
      </c>
      <c r="AZ509">
        <v>1</v>
      </c>
    </row>
    <row r="510" spans="1:52" x14ac:dyDescent="0.35">
      <c r="A510">
        <v>2025221673601</v>
      </c>
      <c r="B510">
        <v>2025</v>
      </c>
      <c r="C510">
        <v>221673601</v>
      </c>
      <c r="D510">
        <v>383553</v>
      </c>
      <c r="E510">
        <v>252187</v>
      </c>
      <c r="F510">
        <v>-2.2418900000000002</v>
      </c>
      <c r="G510">
        <v>52.167700000000004</v>
      </c>
      <c r="H510">
        <v>22</v>
      </c>
      <c r="I510">
        <v>3</v>
      </c>
      <c r="J510" t="str">
        <f>VLOOKUP(I510, Lookups!$B$1:$C$4, 2, FALSE)</f>
        <v>Slight</v>
      </c>
      <c r="K510">
        <v>3</v>
      </c>
      <c r="L510">
        <v>2</v>
      </c>
      <c r="M510" s="1">
        <v>45979</v>
      </c>
      <c r="N510">
        <v>3</v>
      </c>
      <c r="O510" t="str">
        <f>VLOOKUP(N510, Lookups!$B$6:$C$12, 2, FALSE)</f>
        <v>Tuesday</v>
      </c>
      <c r="P510" s="2">
        <v>0.82638888888888884</v>
      </c>
      <c r="Q510">
        <v>-1</v>
      </c>
      <c r="R510" t="s">
        <v>49</v>
      </c>
      <c r="S510" t="s">
        <v>45</v>
      </c>
      <c r="T510" t="s">
        <v>45</v>
      </c>
      <c r="U510">
        <v>3</v>
      </c>
      <c r="V510" t="str">
        <f>VLOOKUP(U510, Lookups!$B$51:$C$57, 2, FALSE)</f>
        <v>A</v>
      </c>
      <c r="W510">
        <v>4440</v>
      </c>
      <c r="X510" t="str">
        <f t="shared" si="69"/>
        <v>A4440</v>
      </c>
      <c r="Y510">
        <v>1</v>
      </c>
      <c r="Z510" t="str">
        <f>VLOOKUP(Y510, Lookups!$B$14:$C$21, 2, FALSE)</f>
        <v>Roundabout</v>
      </c>
      <c r="AA510">
        <v>40</v>
      </c>
      <c r="AB510">
        <v>-1</v>
      </c>
      <c r="AC510">
        <v>-1</v>
      </c>
      <c r="AD510">
        <v>4</v>
      </c>
      <c r="AE510">
        <v>3</v>
      </c>
      <c r="AF510">
        <v>4440</v>
      </c>
      <c r="AG510">
        <v>-1</v>
      </c>
      <c r="AH510">
        <v>-1</v>
      </c>
      <c r="AI510">
        <v>0</v>
      </c>
      <c r="AJ510">
        <v>4</v>
      </c>
      <c r="AK510" t="str">
        <f>VLOOKUP(AJ510, Lookups!$B$23:$C$28, 2, FALSE)</f>
        <v>Darkness (Lit)</v>
      </c>
      <c r="AL510">
        <v>1</v>
      </c>
      <c r="AM510" t="str">
        <f>VLOOKUP(AL510, Lookups!$B$30:$C$39, 2, FALSE)</f>
        <v>Fine / Clear</v>
      </c>
      <c r="AN510">
        <v>1</v>
      </c>
      <c r="AO510" t="str">
        <f>VLOOKUP(AN510, Lookups!$B$41:$C$49, 2, FALSE)</f>
        <v>Dry</v>
      </c>
      <c r="AP510">
        <v>-1</v>
      </c>
      <c r="AQ510">
        <v>-1</v>
      </c>
      <c r="AR510">
        <v>0</v>
      </c>
      <c r="AS510">
        <v>2</v>
      </c>
      <c r="AT510">
        <v>1</v>
      </c>
      <c r="AU510">
        <v>2</v>
      </c>
      <c r="AV510" t="s">
        <v>65</v>
      </c>
      <c r="AW510">
        <v>3</v>
      </c>
      <c r="AX510">
        <v>1</v>
      </c>
      <c r="AY510">
        <v>0</v>
      </c>
      <c r="AZ510">
        <v>1</v>
      </c>
    </row>
    <row r="511" spans="1:52" x14ac:dyDescent="0.35">
      <c r="A511">
        <v>2025221562969</v>
      </c>
      <c r="B511">
        <v>2025</v>
      </c>
      <c r="C511">
        <v>221562969</v>
      </c>
      <c r="D511">
        <v>372449</v>
      </c>
      <c r="E511">
        <v>255962</v>
      </c>
      <c r="F511">
        <v>-2.4045399999999999</v>
      </c>
      <c r="G511">
        <v>52.201189999999997</v>
      </c>
      <c r="H511">
        <v>22</v>
      </c>
      <c r="I511">
        <v>2</v>
      </c>
      <c r="J511" t="str">
        <f>VLOOKUP(I511, Lookups!$B$1:$C$4, 2, FALSE)</f>
        <v>Serious</v>
      </c>
      <c r="K511">
        <v>2</v>
      </c>
      <c r="L511">
        <v>1</v>
      </c>
      <c r="M511" s="1">
        <v>45725</v>
      </c>
      <c r="N511">
        <v>1</v>
      </c>
      <c r="O511" t="str">
        <f>VLOOKUP(N511, Lookups!$B$6:$C$12, 2, FALSE)</f>
        <v>Sunday</v>
      </c>
      <c r="P511" s="2">
        <v>0.64375000000000004</v>
      </c>
      <c r="Q511">
        <v>-1</v>
      </c>
      <c r="R511" t="s">
        <v>49</v>
      </c>
      <c r="S511" t="s">
        <v>45</v>
      </c>
      <c r="T511" t="s">
        <v>45</v>
      </c>
      <c r="U511">
        <v>3</v>
      </c>
      <c r="V511" t="str">
        <f>VLOOKUP(U511, Lookups!$B$51:$C$57, 2, FALSE)</f>
        <v>A</v>
      </c>
      <c r="W511">
        <v>44</v>
      </c>
      <c r="X511" t="str">
        <f t="shared" si="69"/>
        <v>A44</v>
      </c>
      <c r="Y511">
        <v>6</v>
      </c>
      <c r="Z511" t="str">
        <f>VLOOKUP(Y511, Lookups!$B$14:$C$21, 2, FALSE)</f>
        <v>Single carriageway</v>
      </c>
      <c r="AA511">
        <v>30</v>
      </c>
      <c r="AB511">
        <v>-1</v>
      </c>
      <c r="AC511">
        <v>0</v>
      </c>
      <c r="AD511">
        <v>-1</v>
      </c>
      <c r="AE511">
        <v>0</v>
      </c>
      <c r="AF511">
        <v>-1</v>
      </c>
      <c r="AG511">
        <v>-1</v>
      </c>
      <c r="AH511">
        <v>-1</v>
      </c>
      <c r="AI511">
        <v>0</v>
      </c>
      <c r="AJ511">
        <v>1</v>
      </c>
      <c r="AK511" t="str">
        <f>VLOOKUP(AJ511, Lookups!$B$23:$C$28, 2, FALSE)</f>
        <v>Daylight</v>
      </c>
      <c r="AL511">
        <v>1</v>
      </c>
      <c r="AM511" t="str">
        <f>VLOOKUP(AL511, Lookups!$B$30:$C$39, 2, FALSE)</f>
        <v>Fine / Clear</v>
      </c>
      <c r="AN511">
        <v>1</v>
      </c>
      <c r="AO511" t="str">
        <f>VLOOKUP(AN511, Lookups!$B$41:$C$49, 2, FALSE)</f>
        <v>Dry</v>
      </c>
      <c r="AP511">
        <v>-1</v>
      </c>
      <c r="AQ511">
        <v>-1</v>
      </c>
      <c r="AR511">
        <v>0</v>
      </c>
      <c r="AS511">
        <v>2</v>
      </c>
      <c r="AT511">
        <v>1</v>
      </c>
      <c r="AU511">
        <v>2</v>
      </c>
      <c r="AV511" t="s">
        <v>224</v>
      </c>
      <c r="AW511">
        <v>7</v>
      </c>
      <c r="AX511">
        <v>1</v>
      </c>
      <c r="AY511">
        <v>1</v>
      </c>
      <c r="AZ511">
        <v>0</v>
      </c>
    </row>
    <row r="512" spans="1:52" x14ac:dyDescent="0.35">
      <c r="A512">
        <v>2025221650060</v>
      </c>
      <c r="B512">
        <v>2025</v>
      </c>
      <c r="C512">
        <v>221650060</v>
      </c>
      <c r="D512">
        <v>398367</v>
      </c>
      <c r="E512">
        <v>279628</v>
      </c>
      <c r="F512">
        <v>-2.0254300000000001</v>
      </c>
      <c r="G512">
        <v>52.414650000000002</v>
      </c>
      <c r="H512">
        <v>22</v>
      </c>
      <c r="I512">
        <v>3</v>
      </c>
      <c r="J512" t="str">
        <f>VLOOKUP(I512, Lookups!$B$1:$C$4, 2, FALSE)</f>
        <v>Slight</v>
      </c>
      <c r="K512">
        <v>1</v>
      </c>
      <c r="L512">
        <v>1</v>
      </c>
      <c r="M512" s="1">
        <v>45928</v>
      </c>
      <c r="N512">
        <v>1</v>
      </c>
      <c r="O512" t="str">
        <f>VLOOKUP(N512, Lookups!$B$6:$C$12, 2, FALSE)</f>
        <v>Sunday</v>
      </c>
      <c r="P512" s="2">
        <v>0.86458333333333337</v>
      </c>
      <c r="Q512">
        <v>-1</v>
      </c>
      <c r="R512" t="s">
        <v>47</v>
      </c>
      <c r="S512" t="s">
        <v>45</v>
      </c>
      <c r="T512" t="s">
        <v>45</v>
      </c>
      <c r="U512">
        <v>1</v>
      </c>
      <c r="V512" t="str">
        <f>VLOOKUP(U512, Lookups!$B$51:$C$57, 2, FALSE)</f>
        <v>M</v>
      </c>
      <c r="W512">
        <v>5</v>
      </c>
      <c r="X512" t="str">
        <f t="shared" si="69"/>
        <v>M5</v>
      </c>
      <c r="Y512">
        <v>3</v>
      </c>
      <c r="Z512" t="str">
        <f>VLOOKUP(Y512, Lookups!$B$14:$C$21, 2, FALSE)</f>
        <v>Dual carriageway</v>
      </c>
      <c r="AA512">
        <v>70</v>
      </c>
      <c r="AB512">
        <v>-1</v>
      </c>
      <c r="AC512">
        <v>0</v>
      </c>
      <c r="AD512">
        <v>-1</v>
      </c>
      <c r="AE512">
        <v>0</v>
      </c>
      <c r="AF512">
        <v>-1</v>
      </c>
      <c r="AG512">
        <v>-1</v>
      </c>
      <c r="AH512">
        <v>-1</v>
      </c>
      <c r="AI512">
        <v>0</v>
      </c>
      <c r="AJ512">
        <v>4</v>
      </c>
      <c r="AK512" t="str">
        <f>VLOOKUP(AJ512, Lookups!$B$23:$C$28, 2, FALSE)</f>
        <v>Darkness (Lit)</v>
      </c>
      <c r="AL512">
        <v>1</v>
      </c>
      <c r="AM512" t="str">
        <f>VLOOKUP(AL512, Lookups!$B$30:$C$39, 2, FALSE)</f>
        <v>Fine / Clear</v>
      </c>
      <c r="AN512">
        <v>1</v>
      </c>
      <c r="AO512" t="str">
        <f>VLOOKUP(AN512, Lookups!$B$41:$C$49, 2, FALSE)</f>
        <v>Dry</v>
      </c>
      <c r="AP512">
        <v>-1</v>
      </c>
      <c r="AQ512">
        <v>-1</v>
      </c>
      <c r="AR512">
        <v>0</v>
      </c>
      <c r="AS512">
        <v>2</v>
      </c>
      <c r="AT512">
        <v>1</v>
      </c>
      <c r="AU512">
        <v>1</v>
      </c>
      <c r="AV512" t="s">
        <v>149</v>
      </c>
      <c r="AW512">
        <v>3</v>
      </c>
      <c r="AX512">
        <v>1</v>
      </c>
      <c r="AY512">
        <v>0</v>
      </c>
      <c r="AZ512">
        <v>1</v>
      </c>
    </row>
    <row r="513" spans="1:52" x14ac:dyDescent="0.35">
      <c r="A513">
        <v>2025221665908</v>
      </c>
      <c r="B513">
        <v>2025</v>
      </c>
      <c r="C513">
        <v>221665908</v>
      </c>
      <c r="D513">
        <v>407832</v>
      </c>
      <c r="E513">
        <v>268203</v>
      </c>
      <c r="F513">
        <v>-1.8865400000000001</v>
      </c>
      <c r="G513">
        <v>52.311880000000002</v>
      </c>
      <c r="H513">
        <v>22</v>
      </c>
      <c r="I513">
        <v>3</v>
      </c>
      <c r="J513" t="str">
        <f>VLOOKUP(I513, Lookups!$B$1:$C$4, 2, FALSE)</f>
        <v>Slight</v>
      </c>
      <c r="K513">
        <v>2</v>
      </c>
      <c r="L513">
        <v>2</v>
      </c>
      <c r="M513" s="1">
        <v>45970</v>
      </c>
      <c r="N513">
        <v>1</v>
      </c>
      <c r="O513" t="str">
        <f>VLOOKUP(N513, Lookups!$B$6:$C$12, 2, FALSE)</f>
        <v>Sunday</v>
      </c>
      <c r="P513" s="2">
        <v>0.91527777777777775</v>
      </c>
      <c r="Q513">
        <v>-1</v>
      </c>
      <c r="R513" t="s">
        <v>69</v>
      </c>
      <c r="S513" t="s">
        <v>45</v>
      </c>
      <c r="T513" t="s">
        <v>45</v>
      </c>
      <c r="U513">
        <v>3</v>
      </c>
      <c r="V513" t="str">
        <f>VLOOKUP(U513, Lookups!$B$51:$C$57, 2, FALSE)</f>
        <v>A</v>
      </c>
      <c r="W513">
        <v>4023</v>
      </c>
      <c r="X513" t="str">
        <f t="shared" si="69"/>
        <v>A4023</v>
      </c>
      <c r="Y513">
        <v>1</v>
      </c>
      <c r="Z513" t="str">
        <f>VLOOKUP(Y513, Lookups!$B$14:$C$21, 2, FALSE)</f>
        <v>Roundabout</v>
      </c>
      <c r="AA513">
        <v>40</v>
      </c>
      <c r="AB513">
        <v>-1</v>
      </c>
      <c r="AC513">
        <v>-1</v>
      </c>
      <c r="AD513">
        <v>4</v>
      </c>
      <c r="AE513">
        <v>6</v>
      </c>
      <c r="AF513">
        <v>0</v>
      </c>
      <c r="AG513">
        <v>-1</v>
      </c>
      <c r="AH513">
        <v>-1</v>
      </c>
      <c r="AI513">
        <v>0</v>
      </c>
      <c r="AJ513">
        <v>4</v>
      </c>
      <c r="AK513" t="str">
        <f>VLOOKUP(AJ513, Lookups!$B$23:$C$28, 2, FALSE)</f>
        <v>Darkness (Lit)</v>
      </c>
      <c r="AL513">
        <v>2</v>
      </c>
      <c r="AM513" t="str">
        <f>VLOOKUP(AL513, Lookups!$B$30:$C$39, 2, FALSE)</f>
        <v>Rain</v>
      </c>
      <c r="AN513">
        <v>2</v>
      </c>
      <c r="AO513" t="str">
        <f>VLOOKUP(AN513, Lookups!$B$41:$C$49, 2, FALSE)</f>
        <v>Wet / damp</v>
      </c>
      <c r="AP513">
        <v>-1</v>
      </c>
      <c r="AQ513">
        <v>-1</v>
      </c>
      <c r="AR513">
        <v>0</v>
      </c>
      <c r="AS513">
        <v>1</v>
      </c>
      <c r="AT513">
        <v>1</v>
      </c>
      <c r="AU513">
        <v>2</v>
      </c>
      <c r="AV513" t="s">
        <v>203</v>
      </c>
      <c r="AW513">
        <v>3</v>
      </c>
      <c r="AX513">
        <v>1</v>
      </c>
      <c r="AY513">
        <v>0</v>
      </c>
      <c r="AZ513">
        <v>1</v>
      </c>
    </row>
    <row r="514" spans="1:52" x14ac:dyDescent="0.35">
      <c r="A514">
        <v>2025221679889</v>
      </c>
      <c r="B514">
        <v>2025</v>
      </c>
      <c r="C514">
        <v>221679889</v>
      </c>
      <c r="D514">
        <v>381954</v>
      </c>
      <c r="E514">
        <v>276317</v>
      </c>
      <c r="F514">
        <v>-2.2665600000000001</v>
      </c>
      <c r="G514">
        <v>52.38458</v>
      </c>
      <c r="H514">
        <v>22</v>
      </c>
      <c r="I514">
        <v>3</v>
      </c>
      <c r="J514" t="str">
        <f>VLOOKUP(I514, Lookups!$B$1:$C$4, 2, FALSE)</f>
        <v>Slight</v>
      </c>
      <c r="K514">
        <v>2</v>
      </c>
      <c r="L514">
        <v>1</v>
      </c>
      <c r="M514" s="1">
        <v>45986</v>
      </c>
      <c r="N514">
        <v>3</v>
      </c>
      <c r="O514" t="str">
        <f>VLOOKUP(N514, Lookups!$B$6:$C$12, 2, FALSE)</f>
        <v>Tuesday</v>
      </c>
      <c r="P514" s="2">
        <v>0.85138888888888886</v>
      </c>
      <c r="Q514">
        <v>-1</v>
      </c>
      <c r="R514" t="s">
        <v>44</v>
      </c>
      <c r="S514" t="s">
        <v>45</v>
      </c>
      <c r="T514" t="s">
        <v>45</v>
      </c>
      <c r="U514">
        <v>3</v>
      </c>
      <c r="V514" t="str">
        <f>VLOOKUP(U514, Lookups!$B$51:$C$57, 2, FALSE)</f>
        <v>A</v>
      </c>
      <c r="W514">
        <v>456</v>
      </c>
      <c r="X514" t="str">
        <f t="shared" si="69"/>
        <v>A456</v>
      </c>
      <c r="Y514">
        <v>6</v>
      </c>
      <c r="Z514" t="str">
        <f>VLOOKUP(Y514, Lookups!$B$14:$C$21, 2, FALSE)</f>
        <v>Single carriageway</v>
      </c>
      <c r="AA514">
        <v>30</v>
      </c>
      <c r="AB514">
        <v>-1</v>
      </c>
      <c r="AC514">
        <v>19</v>
      </c>
      <c r="AD514">
        <v>4</v>
      </c>
      <c r="AE514">
        <v>6</v>
      </c>
      <c r="AF514">
        <v>0</v>
      </c>
      <c r="AG514">
        <v>-1</v>
      </c>
      <c r="AH514">
        <v>-1</v>
      </c>
      <c r="AI514">
        <v>0</v>
      </c>
      <c r="AJ514">
        <v>4</v>
      </c>
      <c r="AK514" t="str">
        <f>VLOOKUP(AJ514, Lookups!$B$23:$C$28, 2, FALSE)</f>
        <v>Darkness (Lit)</v>
      </c>
      <c r="AL514">
        <v>1</v>
      </c>
      <c r="AM514" t="str">
        <f>VLOOKUP(AL514, Lookups!$B$30:$C$39, 2, FALSE)</f>
        <v>Fine / Clear</v>
      </c>
      <c r="AN514">
        <v>2</v>
      </c>
      <c r="AO514" t="str">
        <f>VLOOKUP(AN514, Lookups!$B$41:$C$49, 2, FALSE)</f>
        <v>Wet / damp</v>
      </c>
      <c r="AP514">
        <v>-1</v>
      </c>
      <c r="AQ514">
        <v>-1</v>
      </c>
      <c r="AR514">
        <v>0</v>
      </c>
      <c r="AS514">
        <v>1</v>
      </c>
      <c r="AT514">
        <v>1</v>
      </c>
      <c r="AU514">
        <v>2</v>
      </c>
      <c r="AV514" t="s">
        <v>148</v>
      </c>
      <c r="AW514">
        <v>3</v>
      </c>
      <c r="AX514">
        <v>1</v>
      </c>
      <c r="AY514">
        <v>0</v>
      </c>
      <c r="AZ514">
        <v>1</v>
      </c>
    </row>
    <row r="515" spans="1:52" x14ac:dyDescent="0.35">
      <c r="A515">
        <v>2025221587112</v>
      </c>
      <c r="B515">
        <v>2025</v>
      </c>
      <c r="C515">
        <v>221587112</v>
      </c>
      <c r="D515">
        <v>403062</v>
      </c>
      <c r="E515">
        <v>256521</v>
      </c>
      <c r="F515">
        <v>-1.95661</v>
      </c>
      <c r="G515">
        <v>52.206910000000001</v>
      </c>
      <c r="H515">
        <v>22</v>
      </c>
      <c r="I515">
        <v>2</v>
      </c>
      <c r="J515" t="str">
        <f>VLOOKUP(I515, Lookups!$B$1:$C$4, 2, FALSE)</f>
        <v>Serious</v>
      </c>
      <c r="K515">
        <v>2</v>
      </c>
      <c r="L515">
        <v>1</v>
      </c>
      <c r="M515" s="1">
        <v>45784</v>
      </c>
      <c r="N515">
        <v>4</v>
      </c>
      <c r="O515" t="str">
        <f>VLOOKUP(N515, Lookups!$B$6:$C$12, 2, FALSE)</f>
        <v>Wednesday</v>
      </c>
      <c r="P515" s="2">
        <v>0.36805555555555558</v>
      </c>
      <c r="Q515">
        <v>-1</v>
      </c>
      <c r="R515" t="s">
        <v>54</v>
      </c>
      <c r="S515" t="s">
        <v>45</v>
      </c>
      <c r="T515" t="s">
        <v>45</v>
      </c>
      <c r="U515">
        <v>6</v>
      </c>
      <c r="V515" t="str">
        <f>VLOOKUP(U515, Lookups!$B$51:$C$57, 2, FALSE)</f>
        <v>Unclassified</v>
      </c>
      <c r="W515">
        <v>0</v>
      </c>
      <c r="X515" t="s">
        <v>362</v>
      </c>
      <c r="Y515">
        <v>6</v>
      </c>
      <c r="Z515" t="str">
        <f>VLOOKUP(Y515, Lookups!$B$14:$C$21, 2, FALSE)</f>
        <v>Single carriageway</v>
      </c>
      <c r="AA515">
        <v>60</v>
      </c>
      <c r="AB515">
        <v>-1</v>
      </c>
      <c r="AC515">
        <v>0</v>
      </c>
      <c r="AD515">
        <v>-1</v>
      </c>
      <c r="AE515">
        <v>0</v>
      </c>
      <c r="AF515">
        <v>-1</v>
      </c>
      <c r="AG515">
        <v>-1</v>
      </c>
      <c r="AH515">
        <v>-1</v>
      </c>
      <c r="AI515">
        <v>0</v>
      </c>
      <c r="AJ515">
        <v>1</v>
      </c>
      <c r="AK515" t="str">
        <f>VLOOKUP(AJ515, Lookups!$B$23:$C$28, 2, FALSE)</f>
        <v>Daylight</v>
      </c>
      <c r="AL515">
        <v>1</v>
      </c>
      <c r="AM515" t="str">
        <f>VLOOKUP(AL515, Lookups!$B$30:$C$39, 2, FALSE)</f>
        <v>Fine / Clear</v>
      </c>
      <c r="AN515">
        <v>1</v>
      </c>
      <c r="AO515" t="str">
        <f>VLOOKUP(AN515, Lookups!$B$41:$C$49, 2, FALSE)</f>
        <v>Dry</v>
      </c>
      <c r="AP515">
        <v>-1</v>
      </c>
      <c r="AQ515">
        <v>-1</v>
      </c>
      <c r="AR515">
        <v>0</v>
      </c>
      <c r="AS515">
        <v>2</v>
      </c>
      <c r="AT515">
        <v>3</v>
      </c>
      <c r="AU515">
        <v>2</v>
      </c>
      <c r="AV515" t="s">
        <v>141</v>
      </c>
      <c r="AW515">
        <v>5</v>
      </c>
      <c r="AX515">
        <v>1</v>
      </c>
      <c r="AY515">
        <v>1</v>
      </c>
      <c r="AZ515">
        <v>0</v>
      </c>
    </row>
    <row r="516" spans="1:52" x14ac:dyDescent="0.35">
      <c r="A516">
        <v>2025221627689</v>
      </c>
      <c r="B516">
        <v>2025</v>
      </c>
      <c r="C516">
        <v>221627689</v>
      </c>
      <c r="D516">
        <v>384004</v>
      </c>
      <c r="E516">
        <v>274582</v>
      </c>
      <c r="F516">
        <v>-2.2363599999999999</v>
      </c>
      <c r="G516">
        <v>52.369050000000001</v>
      </c>
      <c r="H516">
        <v>22</v>
      </c>
      <c r="I516">
        <v>2</v>
      </c>
      <c r="J516" t="str">
        <f>VLOOKUP(I516, Lookups!$B$1:$C$4, 2, FALSE)</f>
        <v>Serious</v>
      </c>
      <c r="K516">
        <v>2</v>
      </c>
      <c r="L516">
        <v>1</v>
      </c>
      <c r="M516" s="1">
        <v>45875</v>
      </c>
      <c r="N516">
        <v>4</v>
      </c>
      <c r="O516" t="str">
        <f>VLOOKUP(N516, Lookups!$B$6:$C$12, 2, FALSE)</f>
        <v>Wednesday</v>
      </c>
      <c r="P516" s="2">
        <v>0.72847222222222219</v>
      </c>
      <c r="Q516">
        <v>-1</v>
      </c>
      <c r="R516" t="s">
        <v>44</v>
      </c>
      <c r="S516" t="s">
        <v>45</v>
      </c>
      <c r="T516" t="s">
        <v>45</v>
      </c>
      <c r="U516">
        <v>6</v>
      </c>
      <c r="V516" t="str">
        <f>VLOOKUP(U516, Lookups!$B$51:$C$57, 2, FALSE)</f>
        <v>Unclassified</v>
      </c>
      <c r="W516">
        <v>0</v>
      </c>
      <c r="X516" t="s">
        <v>362</v>
      </c>
      <c r="Y516">
        <v>6</v>
      </c>
      <c r="Z516" t="str">
        <f>VLOOKUP(Y516, Lookups!$B$14:$C$21, 2, FALSE)</f>
        <v>Single carriageway</v>
      </c>
      <c r="AA516">
        <v>30</v>
      </c>
      <c r="AB516">
        <v>-1</v>
      </c>
      <c r="AC516">
        <v>13</v>
      </c>
      <c r="AD516">
        <v>4</v>
      </c>
      <c r="AE516">
        <v>6</v>
      </c>
      <c r="AF516">
        <v>0</v>
      </c>
      <c r="AG516">
        <v>-1</v>
      </c>
      <c r="AH516">
        <v>-1</v>
      </c>
      <c r="AI516">
        <v>0</v>
      </c>
      <c r="AJ516">
        <v>1</v>
      </c>
      <c r="AK516" t="str">
        <f>VLOOKUP(AJ516, Lookups!$B$23:$C$28, 2, FALSE)</f>
        <v>Daylight</v>
      </c>
      <c r="AL516">
        <v>1</v>
      </c>
      <c r="AM516" t="str">
        <f>VLOOKUP(AL516, Lookups!$B$30:$C$39, 2, FALSE)</f>
        <v>Fine / Clear</v>
      </c>
      <c r="AN516">
        <v>1</v>
      </c>
      <c r="AO516" t="str">
        <f>VLOOKUP(AN516, Lookups!$B$41:$C$49, 2, FALSE)</f>
        <v>Dry</v>
      </c>
      <c r="AP516">
        <v>-1</v>
      </c>
      <c r="AQ516">
        <v>-1</v>
      </c>
      <c r="AR516">
        <v>0</v>
      </c>
      <c r="AS516">
        <v>1</v>
      </c>
      <c r="AT516">
        <v>1</v>
      </c>
      <c r="AU516">
        <v>2</v>
      </c>
      <c r="AV516" t="s">
        <v>96</v>
      </c>
      <c r="AW516">
        <v>7</v>
      </c>
      <c r="AX516">
        <v>1</v>
      </c>
      <c r="AY516">
        <v>1</v>
      </c>
      <c r="AZ516">
        <v>0</v>
      </c>
    </row>
    <row r="517" spans="1:52" x14ac:dyDescent="0.35">
      <c r="A517">
        <v>2025221566716</v>
      </c>
      <c r="B517">
        <v>2025</v>
      </c>
      <c r="C517">
        <v>221566716</v>
      </c>
      <c r="D517">
        <v>386391</v>
      </c>
      <c r="E517">
        <v>241872</v>
      </c>
      <c r="F517">
        <v>-2.19998</v>
      </c>
      <c r="G517">
        <v>52.075040000000001</v>
      </c>
      <c r="H517">
        <v>22</v>
      </c>
      <c r="I517">
        <v>2</v>
      </c>
      <c r="J517" t="str">
        <f>VLOOKUP(I517, Lookups!$B$1:$C$4, 2, FALSE)</f>
        <v>Serious</v>
      </c>
      <c r="K517">
        <v>2</v>
      </c>
      <c r="L517">
        <v>3</v>
      </c>
      <c r="M517" s="1">
        <v>45734</v>
      </c>
      <c r="N517">
        <v>3</v>
      </c>
      <c r="O517" t="str">
        <f>VLOOKUP(N517, Lookups!$B$6:$C$12, 2, FALSE)</f>
        <v>Tuesday</v>
      </c>
      <c r="P517" s="2">
        <v>0.79513888888888884</v>
      </c>
      <c r="Q517">
        <v>-1</v>
      </c>
      <c r="R517" t="s">
        <v>49</v>
      </c>
      <c r="S517" t="s">
        <v>45</v>
      </c>
      <c r="T517" t="s">
        <v>45</v>
      </c>
      <c r="U517">
        <v>3</v>
      </c>
      <c r="V517" t="str">
        <f>VLOOKUP(U517, Lookups!$B$51:$C$57, 2, FALSE)</f>
        <v>A</v>
      </c>
      <c r="W517">
        <v>38</v>
      </c>
      <c r="X517" t="str">
        <f t="shared" ref="X517:X518" si="70">V517&amp;W517</f>
        <v>A38</v>
      </c>
      <c r="Y517">
        <v>6</v>
      </c>
      <c r="Z517" t="str">
        <f>VLOOKUP(Y517, Lookups!$B$14:$C$21, 2, FALSE)</f>
        <v>Single carriageway</v>
      </c>
      <c r="AA517">
        <v>50</v>
      </c>
      <c r="AB517">
        <v>-1</v>
      </c>
      <c r="AC517">
        <v>0</v>
      </c>
      <c r="AD517">
        <v>-1</v>
      </c>
      <c r="AE517">
        <v>6</v>
      </c>
      <c r="AF517">
        <v>0</v>
      </c>
      <c r="AG517">
        <v>-1</v>
      </c>
      <c r="AH517">
        <v>-1</v>
      </c>
      <c r="AI517">
        <v>0</v>
      </c>
      <c r="AJ517">
        <v>6</v>
      </c>
      <c r="AK517" t="str">
        <f>VLOOKUP(AJ517, Lookups!$B$23:$C$28, 2, FALSE)</f>
        <v>Darkness (Unlit)</v>
      </c>
      <c r="AL517">
        <v>1</v>
      </c>
      <c r="AM517" t="str">
        <f>VLOOKUP(AL517, Lookups!$B$30:$C$39, 2, FALSE)</f>
        <v>Fine / Clear</v>
      </c>
      <c r="AN517">
        <v>1</v>
      </c>
      <c r="AO517" t="str">
        <f>VLOOKUP(AN517, Lookups!$B$41:$C$49, 2, FALSE)</f>
        <v>Dry</v>
      </c>
      <c r="AP517">
        <v>-1</v>
      </c>
      <c r="AQ517">
        <v>-1</v>
      </c>
      <c r="AR517">
        <v>0</v>
      </c>
      <c r="AS517">
        <v>2</v>
      </c>
      <c r="AT517">
        <v>1</v>
      </c>
      <c r="AU517">
        <v>2</v>
      </c>
      <c r="AV517" t="s">
        <v>189</v>
      </c>
      <c r="AW517">
        <v>7</v>
      </c>
      <c r="AX517">
        <v>1</v>
      </c>
      <c r="AY517">
        <v>1</v>
      </c>
      <c r="AZ517">
        <v>0</v>
      </c>
    </row>
    <row r="518" spans="1:52" x14ac:dyDescent="0.35">
      <c r="A518">
        <v>2025221643407</v>
      </c>
      <c r="B518">
        <v>2025</v>
      </c>
      <c r="C518">
        <v>221643407</v>
      </c>
      <c r="D518">
        <v>383438</v>
      </c>
      <c r="E518">
        <v>250185</v>
      </c>
      <c r="F518">
        <v>-2.2434699999999999</v>
      </c>
      <c r="G518">
        <v>52.149700000000003</v>
      </c>
      <c r="H518">
        <v>22</v>
      </c>
      <c r="I518">
        <v>3</v>
      </c>
      <c r="J518" t="str">
        <f>VLOOKUP(I518, Lookups!$B$1:$C$4, 2, FALSE)</f>
        <v>Slight</v>
      </c>
      <c r="K518">
        <v>2</v>
      </c>
      <c r="L518">
        <v>1</v>
      </c>
      <c r="M518" s="1">
        <v>45917</v>
      </c>
      <c r="N518">
        <v>4</v>
      </c>
      <c r="O518" t="str">
        <f>VLOOKUP(N518, Lookups!$B$6:$C$12, 2, FALSE)</f>
        <v>Wednesday</v>
      </c>
      <c r="P518" s="2">
        <v>0.72916666666666663</v>
      </c>
      <c r="Q518">
        <v>-1</v>
      </c>
      <c r="R518" t="s">
        <v>49</v>
      </c>
      <c r="S518" t="s">
        <v>45</v>
      </c>
      <c r="T518" t="s">
        <v>45</v>
      </c>
      <c r="U518">
        <v>4</v>
      </c>
      <c r="V518" t="str">
        <f>VLOOKUP(U518, Lookups!$B$51:$C$57, 2, FALSE)</f>
        <v>B</v>
      </c>
      <c r="W518">
        <v>4424</v>
      </c>
      <c r="X518" t="str">
        <f t="shared" si="70"/>
        <v>B4424</v>
      </c>
      <c r="Y518">
        <v>6</v>
      </c>
      <c r="Z518" t="str">
        <f>VLOOKUP(Y518, Lookups!$B$14:$C$21, 2, FALSE)</f>
        <v>Single carriageway</v>
      </c>
      <c r="AA518">
        <v>30</v>
      </c>
      <c r="AB518">
        <v>-1</v>
      </c>
      <c r="AC518">
        <v>0</v>
      </c>
      <c r="AD518">
        <v>-1</v>
      </c>
      <c r="AE518">
        <v>0</v>
      </c>
      <c r="AF518">
        <v>-1</v>
      </c>
      <c r="AG518">
        <v>-1</v>
      </c>
      <c r="AH518">
        <v>-1</v>
      </c>
      <c r="AI518">
        <v>-1</v>
      </c>
      <c r="AJ518">
        <v>1</v>
      </c>
      <c r="AK518" t="str">
        <f>VLOOKUP(AJ518, Lookups!$B$23:$C$28, 2, FALSE)</f>
        <v>Daylight</v>
      </c>
      <c r="AL518">
        <v>9</v>
      </c>
      <c r="AM518" t="str">
        <f>VLOOKUP(AL518, Lookups!$B$30:$C$39, 2, FALSE)</f>
        <v>Unknown</v>
      </c>
      <c r="AN518">
        <v>1</v>
      </c>
      <c r="AO518" t="str">
        <f>VLOOKUP(AN518, Lookups!$B$41:$C$49, 2, FALSE)</f>
        <v>Dry</v>
      </c>
      <c r="AP518">
        <v>-1</v>
      </c>
      <c r="AQ518">
        <v>-1</v>
      </c>
      <c r="AR518">
        <v>0</v>
      </c>
      <c r="AS518">
        <v>2</v>
      </c>
      <c r="AT518">
        <v>3</v>
      </c>
      <c r="AU518">
        <v>2</v>
      </c>
      <c r="AV518" t="s">
        <v>121</v>
      </c>
      <c r="AW518">
        <v>3</v>
      </c>
      <c r="AX518">
        <v>1</v>
      </c>
      <c r="AY518">
        <v>0</v>
      </c>
      <c r="AZ518">
        <v>1</v>
      </c>
    </row>
    <row r="519" spans="1:52" x14ac:dyDescent="0.35">
      <c r="A519">
        <v>2025221645026</v>
      </c>
      <c r="B519">
        <v>2025</v>
      </c>
      <c r="C519">
        <v>221645026</v>
      </c>
      <c r="D519">
        <v>408261</v>
      </c>
      <c r="E519">
        <v>276604</v>
      </c>
      <c r="F519">
        <v>-1.8800399999999999</v>
      </c>
      <c r="G519">
        <v>52.3874</v>
      </c>
      <c r="H519">
        <v>22</v>
      </c>
      <c r="I519">
        <v>2</v>
      </c>
      <c r="J519" t="str">
        <f>VLOOKUP(I519, Lookups!$B$1:$C$4, 2, FALSE)</f>
        <v>Serious</v>
      </c>
      <c r="K519">
        <v>1</v>
      </c>
      <c r="L519">
        <v>1</v>
      </c>
      <c r="M519" s="1">
        <v>45922</v>
      </c>
      <c r="N519">
        <v>2</v>
      </c>
      <c r="O519" t="str">
        <f>VLOOKUP(N519, Lookups!$B$6:$C$12, 2, FALSE)</f>
        <v>Monday</v>
      </c>
      <c r="P519" s="2">
        <v>0.63194444444444442</v>
      </c>
      <c r="Q519">
        <v>-1</v>
      </c>
      <c r="R519" t="s">
        <v>47</v>
      </c>
      <c r="S519" t="s">
        <v>45</v>
      </c>
      <c r="T519" t="s">
        <v>45</v>
      </c>
      <c r="U519">
        <v>6</v>
      </c>
      <c r="V519" t="str">
        <f>VLOOKUP(U519, Lookups!$B$51:$C$57, 2, FALSE)</f>
        <v>Unclassified</v>
      </c>
      <c r="W519">
        <v>0</v>
      </c>
      <c r="X519" t="s">
        <v>362</v>
      </c>
      <c r="Y519">
        <v>6</v>
      </c>
      <c r="Z519" t="str">
        <f>VLOOKUP(Y519, Lookups!$B$14:$C$21, 2, FALSE)</f>
        <v>Single carriageway</v>
      </c>
      <c r="AA519">
        <v>30</v>
      </c>
      <c r="AB519">
        <v>-1</v>
      </c>
      <c r="AC519">
        <v>13</v>
      </c>
      <c r="AD519">
        <v>4</v>
      </c>
      <c r="AE519">
        <v>6</v>
      </c>
      <c r="AF519">
        <v>0</v>
      </c>
      <c r="AG519">
        <v>-1</v>
      </c>
      <c r="AH519">
        <v>-1</v>
      </c>
      <c r="AI519">
        <v>0</v>
      </c>
      <c r="AJ519">
        <v>1</v>
      </c>
      <c r="AK519" t="str">
        <f>VLOOKUP(AJ519, Lookups!$B$23:$C$28, 2, FALSE)</f>
        <v>Daylight</v>
      </c>
      <c r="AL519">
        <v>1</v>
      </c>
      <c r="AM519" t="str">
        <f>VLOOKUP(AL519, Lookups!$B$30:$C$39, 2, FALSE)</f>
        <v>Fine / Clear</v>
      </c>
      <c r="AN519">
        <v>1</v>
      </c>
      <c r="AO519" t="str">
        <f>VLOOKUP(AN519, Lookups!$B$41:$C$49, 2, FALSE)</f>
        <v>Dry</v>
      </c>
      <c r="AP519">
        <v>-1</v>
      </c>
      <c r="AQ519">
        <v>-1</v>
      </c>
      <c r="AR519">
        <v>0</v>
      </c>
      <c r="AS519">
        <v>1</v>
      </c>
      <c r="AT519">
        <v>1</v>
      </c>
      <c r="AU519">
        <v>2</v>
      </c>
      <c r="AV519" t="s">
        <v>282</v>
      </c>
      <c r="AW519">
        <v>7</v>
      </c>
      <c r="AX519">
        <v>1</v>
      </c>
      <c r="AY519">
        <v>1</v>
      </c>
      <c r="AZ519">
        <v>0</v>
      </c>
    </row>
    <row r="520" spans="1:52" x14ac:dyDescent="0.35">
      <c r="A520">
        <v>2025221675793</v>
      </c>
      <c r="B520">
        <v>2025</v>
      </c>
      <c r="C520">
        <v>221675793</v>
      </c>
      <c r="D520">
        <v>406078</v>
      </c>
      <c r="E520">
        <v>241705</v>
      </c>
      <c r="F520">
        <v>-1.91273</v>
      </c>
      <c r="G520">
        <v>52.073680000000003</v>
      </c>
      <c r="H520">
        <v>22</v>
      </c>
      <c r="I520">
        <v>1</v>
      </c>
      <c r="J520" t="str">
        <f>VLOOKUP(I520, Lookups!$B$1:$C$4, 2, FALSE)</f>
        <v>Fatal</v>
      </c>
      <c r="K520">
        <v>2</v>
      </c>
      <c r="L520">
        <v>4</v>
      </c>
      <c r="M520" s="1">
        <v>45990</v>
      </c>
      <c r="N520">
        <v>7</v>
      </c>
      <c r="O520" t="str">
        <f>VLOOKUP(N520, Lookups!$B$6:$C$12, 2, FALSE)</f>
        <v>Saturday</v>
      </c>
      <c r="P520" s="2">
        <v>0.66388888888888886</v>
      </c>
      <c r="Q520">
        <v>-1</v>
      </c>
      <c r="R520" t="s">
        <v>54</v>
      </c>
      <c r="S520" t="s">
        <v>45</v>
      </c>
      <c r="T520" t="s">
        <v>45</v>
      </c>
      <c r="U520">
        <v>3</v>
      </c>
      <c r="V520" t="str">
        <f>VLOOKUP(U520, Lookups!$B$51:$C$57, 2, FALSE)</f>
        <v>A</v>
      </c>
      <c r="W520">
        <v>44</v>
      </c>
      <c r="X520" t="str">
        <f t="shared" ref="X520:X522" si="71">V520&amp;W520</f>
        <v>A44</v>
      </c>
      <c r="Y520">
        <v>6</v>
      </c>
      <c r="Z520" t="str">
        <f>VLOOKUP(Y520, Lookups!$B$14:$C$21, 2, FALSE)</f>
        <v>Single carriageway</v>
      </c>
      <c r="AA520">
        <v>60</v>
      </c>
      <c r="AB520">
        <v>-1</v>
      </c>
      <c r="AC520">
        <v>18</v>
      </c>
      <c r="AD520">
        <v>4</v>
      </c>
      <c r="AE520">
        <v>6</v>
      </c>
      <c r="AF520">
        <v>0</v>
      </c>
      <c r="AG520">
        <v>-1</v>
      </c>
      <c r="AH520">
        <v>-1</v>
      </c>
      <c r="AI520">
        <v>0</v>
      </c>
      <c r="AJ520">
        <v>1</v>
      </c>
      <c r="AK520" t="str">
        <f>VLOOKUP(AJ520, Lookups!$B$23:$C$28, 2, FALSE)</f>
        <v>Daylight</v>
      </c>
      <c r="AL520">
        <v>1</v>
      </c>
      <c r="AM520" t="str">
        <f>VLOOKUP(AL520, Lookups!$B$30:$C$39, 2, FALSE)</f>
        <v>Fine / Clear</v>
      </c>
      <c r="AN520">
        <v>2</v>
      </c>
      <c r="AO520" t="str">
        <f>VLOOKUP(AN520, Lookups!$B$41:$C$49, 2, FALSE)</f>
        <v>Wet / damp</v>
      </c>
      <c r="AP520">
        <v>-1</v>
      </c>
      <c r="AQ520">
        <v>-1</v>
      </c>
      <c r="AR520">
        <v>0</v>
      </c>
      <c r="AS520">
        <v>2</v>
      </c>
      <c r="AT520">
        <v>1</v>
      </c>
      <c r="AU520">
        <v>2</v>
      </c>
      <c r="AV520" t="s">
        <v>157</v>
      </c>
      <c r="AW520">
        <v>1</v>
      </c>
      <c r="AX520">
        <v>1</v>
      </c>
      <c r="AY520">
        <v>0</v>
      </c>
      <c r="AZ520">
        <v>0</v>
      </c>
    </row>
    <row r="521" spans="1:52" x14ac:dyDescent="0.35">
      <c r="A521">
        <v>2025221620171</v>
      </c>
      <c r="B521">
        <v>2025</v>
      </c>
      <c r="C521">
        <v>221620171</v>
      </c>
      <c r="D521">
        <v>386968</v>
      </c>
      <c r="E521">
        <v>258515</v>
      </c>
      <c r="F521">
        <v>-2.1922000000000001</v>
      </c>
      <c r="G521">
        <v>52.224679999999999</v>
      </c>
      <c r="H521">
        <v>22</v>
      </c>
      <c r="I521">
        <v>3</v>
      </c>
      <c r="J521" t="str">
        <f>VLOOKUP(I521, Lookups!$B$1:$C$4, 2, FALSE)</f>
        <v>Slight</v>
      </c>
      <c r="K521">
        <v>3</v>
      </c>
      <c r="L521">
        <v>1</v>
      </c>
      <c r="M521" s="1">
        <v>45853</v>
      </c>
      <c r="N521">
        <v>3</v>
      </c>
      <c r="O521" t="str">
        <f>VLOOKUP(N521, Lookups!$B$6:$C$12, 2, FALSE)</f>
        <v>Tuesday</v>
      </c>
      <c r="P521" s="2">
        <v>0.57152777777777775</v>
      </c>
      <c r="Q521">
        <v>-1</v>
      </c>
      <c r="R521" t="s">
        <v>54</v>
      </c>
      <c r="S521" t="s">
        <v>45</v>
      </c>
      <c r="T521" t="s">
        <v>45</v>
      </c>
      <c r="U521">
        <v>3</v>
      </c>
      <c r="V521" t="str">
        <f>VLOOKUP(U521, Lookups!$B$51:$C$57, 2, FALSE)</f>
        <v>A</v>
      </c>
      <c r="W521">
        <v>4536</v>
      </c>
      <c r="X521" t="str">
        <f t="shared" si="71"/>
        <v>A4536</v>
      </c>
      <c r="Y521">
        <v>6</v>
      </c>
      <c r="Z521" t="str">
        <f>VLOOKUP(Y521, Lookups!$B$14:$C$21, 2, FALSE)</f>
        <v>Single carriageway</v>
      </c>
      <c r="AA521">
        <v>40</v>
      </c>
      <c r="AB521">
        <v>-1</v>
      </c>
      <c r="AC521">
        <v>13</v>
      </c>
      <c r="AD521">
        <v>4</v>
      </c>
      <c r="AE521">
        <v>3</v>
      </c>
      <c r="AF521">
        <v>449</v>
      </c>
      <c r="AG521">
        <v>-1</v>
      </c>
      <c r="AH521">
        <v>-1</v>
      </c>
      <c r="AI521">
        <v>0</v>
      </c>
      <c r="AJ521">
        <v>1</v>
      </c>
      <c r="AK521" t="str">
        <f>VLOOKUP(AJ521, Lookups!$B$23:$C$28, 2, FALSE)</f>
        <v>Daylight</v>
      </c>
      <c r="AL521">
        <v>2</v>
      </c>
      <c r="AM521" t="str">
        <f>VLOOKUP(AL521, Lookups!$B$30:$C$39, 2, FALSE)</f>
        <v>Rain</v>
      </c>
      <c r="AN521">
        <v>2</v>
      </c>
      <c r="AO521" t="str">
        <f>VLOOKUP(AN521, Lookups!$B$41:$C$49, 2, FALSE)</f>
        <v>Wet / damp</v>
      </c>
      <c r="AP521">
        <v>-1</v>
      </c>
      <c r="AQ521">
        <v>-1</v>
      </c>
      <c r="AR521">
        <v>0</v>
      </c>
      <c r="AS521">
        <v>2</v>
      </c>
      <c r="AT521">
        <v>1</v>
      </c>
      <c r="AU521">
        <v>2</v>
      </c>
      <c r="AV521" t="s">
        <v>66</v>
      </c>
      <c r="AW521">
        <v>3</v>
      </c>
      <c r="AX521">
        <v>1</v>
      </c>
      <c r="AY521">
        <v>0</v>
      </c>
      <c r="AZ521">
        <v>1</v>
      </c>
    </row>
    <row r="522" spans="1:52" x14ac:dyDescent="0.35">
      <c r="A522">
        <v>2025221633285</v>
      </c>
      <c r="B522">
        <v>2025</v>
      </c>
      <c r="C522">
        <v>221633285</v>
      </c>
      <c r="D522">
        <v>382253</v>
      </c>
      <c r="E522">
        <v>271458</v>
      </c>
      <c r="F522">
        <v>-2.2619099999999999</v>
      </c>
      <c r="G522">
        <v>52.340910000000001</v>
      </c>
      <c r="H522">
        <v>22</v>
      </c>
      <c r="I522">
        <v>2</v>
      </c>
      <c r="J522" t="str">
        <f>VLOOKUP(I522, Lookups!$B$1:$C$4, 2, FALSE)</f>
        <v>Serious</v>
      </c>
      <c r="K522">
        <v>2</v>
      </c>
      <c r="L522">
        <v>1</v>
      </c>
      <c r="M522" s="1">
        <v>45895</v>
      </c>
      <c r="N522">
        <v>3</v>
      </c>
      <c r="O522" t="str">
        <f>VLOOKUP(N522, Lookups!$B$6:$C$12, 2, FALSE)</f>
        <v>Tuesday</v>
      </c>
      <c r="P522" s="2">
        <v>0.31944444444444442</v>
      </c>
      <c r="Q522">
        <v>-1</v>
      </c>
      <c r="R522" t="s">
        <v>44</v>
      </c>
      <c r="S522" t="s">
        <v>45</v>
      </c>
      <c r="T522" t="s">
        <v>45</v>
      </c>
      <c r="U522">
        <v>4</v>
      </c>
      <c r="V522" t="str">
        <f>VLOOKUP(U522, Lookups!$B$51:$C$57, 2, FALSE)</f>
        <v>B</v>
      </c>
      <c r="W522">
        <v>4193</v>
      </c>
      <c r="X522" t="str">
        <f t="shared" si="71"/>
        <v>B4193</v>
      </c>
      <c r="Y522">
        <v>6</v>
      </c>
      <c r="Z522" t="str">
        <f>VLOOKUP(Y522, Lookups!$B$14:$C$21, 2, FALSE)</f>
        <v>Single carriageway</v>
      </c>
      <c r="AA522">
        <v>30</v>
      </c>
      <c r="AB522">
        <v>-1</v>
      </c>
      <c r="AC522">
        <v>13</v>
      </c>
      <c r="AD522">
        <v>4</v>
      </c>
      <c r="AE522">
        <v>6</v>
      </c>
      <c r="AF522">
        <v>0</v>
      </c>
      <c r="AG522">
        <v>-1</v>
      </c>
      <c r="AH522">
        <v>-1</v>
      </c>
      <c r="AI522">
        <v>0</v>
      </c>
      <c r="AJ522">
        <v>1</v>
      </c>
      <c r="AK522" t="str">
        <f>VLOOKUP(AJ522, Lookups!$B$23:$C$28, 2, FALSE)</f>
        <v>Daylight</v>
      </c>
      <c r="AL522">
        <v>1</v>
      </c>
      <c r="AM522" t="str">
        <f>VLOOKUP(AL522, Lookups!$B$30:$C$39, 2, FALSE)</f>
        <v>Fine / Clear</v>
      </c>
      <c r="AN522">
        <v>1</v>
      </c>
      <c r="AO522" t="str">
        <f>VLOOKUP(AN522, Lookups!$B$41:$C$49, 2, FALSE)</f>
        <v>Dry</v>
      </c>
      <c r="AP522">
        <v>-1</v>
      </c>
      <c r="AQ522">
        <v>-1</v>
      </c>
      <c r="AR522">
        <v>0</v>
      </c>
      <c r="AS522">
        <v>1</v>
      </c>
      <c r="AT522">
        <v>1</v>
      </c>
      <c r="AU522">
        <v>2</v>
      </c>
      <c r="AV522" t="s">
        <v>84</v>
      </c>
      <c r="AW522">
        <v>7</v>
      </c>
      <c r="AX522">
        <v>1</v>
      </c>
      <c r="AY522">
        <v>1</v>
      </c>
      <c r="AZ522">
        <v>0</v>
      </c>
    </row>
    <row r="523" spans="1:52" x14ac:dyDescent="0.35">
      <c r="A523">
        <v>2025221639953</v>
      </c>
      <c r="B523">
        <v>2025</v>
      </c>
      <c r="C523">
        <v>221639953</v>
      </c>
      <c r="D523">
        <v>404767</v>
      </c>
      <c r="E523">
        <v>267016</v>
      </c>
      <c r="F523">
        <v>-1.9315100000000001</v>
      </c>
      <c r="G523">
        <v>52.301250000000003</v>
      </c>
      <c r="H523">
        <v>22</v>
      </c>
      <c r="I523">
        <v>3</v>
      </c>
      <c r="J523" t="str">
        <f>VLOOKUP(I523, Lookups!$B$1:$C$4, 2, FALSE)</f>
        <v>Slight</v>
      </c>
      <c r="K523">
        <v>2</v>
      </c>
      <c r="L523">
        <v>1</v>
      </c>
      <c r="M523" s="1">
        <v>45910</v>
      </c>
      <c r="N523">
        <v>4</v>
      </c>
      <c r="O523" t="str">
        <f>VLOOKUP(N523, Lookups!$B$6:$C$12, 2, FALSE)</f>
        <v>Wednesday</v>
      </c>
      <c r="P523" s="2">
        <v>0.70138888888888884</v>
      </c>
      <c r="Q523">
        <v>-1</v>
      </c>
      <c r="R523" t="s">
        <v>69</v>
      </c>
      <c r="S523" t="s">
        <v>45</v>
      </c>
      <c r="T523" t="s">
        <v>45</v>
      </c>
      <c r="U523">
        <v>6</v>
      </c>
      <c r="V523" t="str">
        <f>VLOOKUP(U523, Lookups!$B$51:$C$57, 2, FALSE)</f>
        <v>Unclassified</v>
      </c>
      <c r="W523">
        <v>0</v>
      </c>
      <c r="X523" t="s">
        <v>362</v>
      </c>
      <c r="Y523">
        <v>3</v>
      </c>
      <c r="Z523" t="str">
        <f>VLOOKUP(Y523, Lookups!$B$14:$C$21, 2, FALSE)</f>
        <v>Dual carriageway</v>
      </c>
      <c r="AA523">
        <v>40</v>
      </c>
      <c r="AB523">
        <v>-1</v>
      </c>
      <c r="AC523">
        <v>19</v>
      </c>
      <c r="AD523">
        <v>4</v>
      </c>
      <c r="AE523">
        <v>6</v>
      </c>
      <c r="AF523">
        <v>0</v>
      </c>
      <c r="AG523">
        <v>-1</v>
      </c>
      <c r="AH523">
        <v>-1</v>
      </c>
      <c r="AI523">
        <v>0</v>
      </c>
      <c r="AJ523">
        <v>1</v>
      </c>
      <c r="AK523" t="str">
        <f>VLOOKUP(AJ523, Lookups!$B$23:$C$28, 2, FALSE)</f>
        <v>Daylight</v>
      </c>
      <c r="AL523">
        <v>1</v>
      </c>
      <c r="AM523" t="str">
        <f>VLOOKUP(AL523, Lookups!$B$30:$C$39, 2, FALSE)</f>
        <v>Fine / Clear</v>
      </c>
      <c r="AN523">
        <v>2</v>
      </c>
      <c r="AO523" t="str">
        <f>VLOOKUP(AN523, Lookups!$B$41:$C$49, 2, FALSE)</f>
        <v>Wet / damp</v>
      </c>
      <c r="AP523">
        <v>-1</v>
      </c>
      <c r="AQ523">
        <v>-1</v>
      </c>
      <c r="AR523">
        <v>0</v>
      </c>
      <c r="AS523">
        <v>1</v>
      </c>
      <c r="AT523">
        <v>3</v>
      </c>
      <c r="AU523">
        <v>2</v>
      </c>
      <c r="AV523" t="s">
        <v>241</v>
      </c>
      <c r="AW523">
        <v>3</v>
      </c>
      <c r="AX523">
        <v>1</v>
      </c>
      <c r="AY523">
        <v>0</v>
      </c>
      <c r="AZ523">
        <v>1</v>
      </c>
    </row>
    <row r="524" spans="1:52" x14ac:dyDescent="0.35">
      <c r="A524">
        <v>2025221543929</v>
      </c>
      <c r="B524">
        <v>2025</v>
      </c>
      <c r="C524">
        <v>221543929</v>
      </c>
      <c r="D524">
        <v>385729</v>
      </c>
      <c r="E524">
        <v>275231</v>
      </c>
      <c r="F524">
        <v>-2.2110500000000002</v>
      </c>
      <c r="G524">
        <v>52.374929999999999</v>
      </c>
      <c r="H524">
        <v>22</v>
      </c>
      <c r="I524">
        <v>3</v>
      </c>
      <c r="J524" t="str">
        <f>VLOOKUP(I524, Lookups!$B$1:$C$4, 2, FALSE)</f>
        <v>Slight</v>
      </c>
      <c r="K524">
        <v>2</v>
      </c>
      <c r="L524">
        <v>1</v>
      </c>
      <c r="M524" s="1">
        <v>45674</v>
      </c>
      <c r="N524">
        <v>6</v>
      </c>
      <c r="O524" t="str">
        <f>VLOOKUP(N524, Lookups!$B$6:$C$12, 2, FALSE)</f>
        <v>Friday</v>
      </c>
      <c r="P524" s="2">
        <v>0.57013888888888886</v>
      </c>
      <c r="Q524">
        <v>-1</v>
      </c>
      <c r="R524" t="s">
        <v>44</v>
      </c>
      <c r="S524" t="s">
        <v>45</v>
      </c>
      <c r="T524" t="s">
        <v>45</v>
      </c>
      <c r="U524">
        <v>3</v>
      </c>
      <c r="V524" t="str">
        <f>VLOOKUP(U524, Lookups!$B$51:$C$57, 2, FALSE)</f>
        <v>A</v>
      </c>
      <c r="W524">
        <v>448</v>
      </c>
      <c r="X524" t="str">
        <f>V524&amp;W524</f>
        <v>A448</v>
      </c>
      <c r="Y524">
        <v>6</v>
      </c>
      <c r="Z524" t="str">
        <f>VLOOKUP(Y524, Lookups!$B$14:$C$21, 2, FALSE)</f>
        <v>Single carriageway</v>
      </c>
      <c r="AA524">
        <v>60</v>
      </c>
      <c r="AB524">
        <v>-1</v>
      </c>
      <c r="AC524">
        <v>0</v>
      </c>
      <c r="AD524">
        <v>-1</v>
      </c>
      <c r="AE524">
        <v>6</v>
      </c>
      <c r="AF524">
        <v>0</v>
      </c>
      <c r="AG524">
        <v>-1</v>
      </c>
      <c r="AH524">
        <v>-1</v>
      </c>
      <c r="AI524">
        <v>0</v>
      </c>
      <c r="AJ524">
        <v>1</v>
      </c>
      <c r="AK524" t="str">
        <f>VLOOKUP(AJ524, Lookups!$B$23:$C$28, 2, FALSE)</f>
        <v>Daylight</v>
      </c>
      <c r="AL524">
        <v>1</v>
      </c>
      <c r="AM524" t="str">
        <f>VLOOKUP(AL524, Lookups!$B$30:$C$39, 2, FALSE)</f>
        <v>Fine / Clear</v>
      </c>
      <c r="AN524">
        <v>2</v>
      </c>
      <c r="AO524" t="str">
        <f>VLOOKUP(AN524, Lookups!$B$41:$C$49, 2, FALSE)</f>
        <v>Wet / damp</v>
      </c>
      <c r="AP524">
        <v>-1</v>
      </c>
      <c r="AQ524">
        <v>-1</v>
      </c>
      <c r="AR524">
        <v>0</v>
      </c>
      <c r="AS524">
        <v>2</v>
      </c>
      <c r="AT524">
        <v>1</v>
      </c>
      <c r="AU524">
        <v>2</v>
      </c>
      <c r="AV524" t="s">
        <v>80</v>
      </c>
      <c r="AW524">
        <v>3</v>
      </c>
      <c r="AX524">
        <v>1</v>
      </c>
      <c r="AY524">
        <v>0</v>
      </c>
      <c r="AZ524">
        <v>1</v>
      </c>
    </row>
    <row r="525" spans="1:52" x14ac:dyDescent="0.35">
      <c r="A525">
        <v>2025221544041</v>
      </c>
      <c r="B525">
        <v>2025</v>
      </c>
      <c r="C525">
        <v>221544041</v>
      </c>
      <c r="D525">
        <v>386618</v>
      </c>
      <c r="E525">
        <v>256402</v>
      </c>
      <c r="F525">
        <v>-2.1972399999999999</v>
      </c>
      <c r="G525">
        <v>52.205680000000001</v>
      </c>
      <c r="H525">
        <v>22</v>
      </c>
      <c r="I525">
        <v>3</v>
      </c>
      <c r="J525" t="str">
        <f>VLOOKUP(I525, Lookups!$B$1:$C$4, 2, FALSE)</f>
        <v>Slight</v>
      </c>
      <c r="K525">
        <v>2</v>
      </c>
      <c r="L525">
        <v>1</v>
      </c>
      <c r="M525" s="1">
        <v>45676</v>
      </c>
      <c r="N525">
        <v>1</v>
      </c>
      <c r="O525" t="str">
        <f>VLOOKUP(N525, Lookups!$B$6:$C$12, 2, FALSE)</f>
        <v>Sunday</v>
      </c>
      <c r="P525" s="2">
        <v>0.84722222222222221</v>
      </c>
      <c r="Q525">
        <v>-1</v>
      </c>
      <c r="R525" t="s">
        <v>60</v>
      </c>
      <c r="S525" t="s">
        <v>45</v>
      </c>
      <c r="T525" t="s">
        <v>45</v>
      </c>
      <c r="U525">
        <v>6</v>
      </c>
      <c r="V525" t="str">
        <f>VLOOKUP(U525, Lookups!$B$51:$C$57, 2, FALSE)</f>
        <v>Unclassified</v>
      </c>
      <c r="W525">
        <v>0</v>
      </c>
      <c r="X525" t="s">
        <v>362</v>
      </c>
      <c r="Y525">
        <v>6</v>
      </c>
      <c r="Z525" t="str">
        <f>VLOOKUP(Y525, Lookups!$B$14:$C$21, 2, FALSE)</f>
        <v>Single carriageway</v>
      </c>
      <c r="AA525">
        <v>30</v>
      </c>
      <c r="AB525">
        <v>-1</v>
      </c>
      <c r="AC525">
        <v>13</v>
      </c>
      <c r="AD525">
        <v>4</v>
      </c>
      <c r="AE525">
        <v>6</v>
      </c>
      <c r="AF525">
        <v>0</v>
      </c>
      <c r="AG525">
        <v>-1</v>
      </c>
      <c r="AH525">
        <v>-1</v>
      </c>
      <c r="AI525">
        <v>0</v>
      </c>
      <c r="AJ525">
        <v>4</v>
      </c>
      <c r="AK525" t="str">
        <f>VLOOKUP(AJ525, Lookups!$B$23:$C$28, 2, FALSE)</f>
        <v>Darkness (Lit)</v>
      </c>
      <c r="AL525">
        <v>1</v>
      </c>
      <c r="AM525" t="str">
        <f>VLOOKUP(AL525, Lookups!$B$30:$C$39, 2, FALSE)</f>
        <v>Fine / Clear</v>
      </c>
      <c r="AN525">
        <v>2</v>
      </c>
      <c r="AO525" t="str">
        <f>VLOOKUP(AN525, Lookups!$B$41:$C$49, 2, FALSE)</f>
        <v>Wet / damp</v>
      </c>
      <c r="AP525">
        <v>-1</v>
      </c>
      <c r="AQ525">
        <v>-1</v>
      </c>
      <c r="AR525">
        <v>0</v>
      </c>
      <c r="AS525">
        <v>1</v>
      </c>
      <c r="AT525">
        <v>1</v>
      </c>
      <c r="AU525">
        <v>2</v>
      </c>
      <c r="AV525" t="s">
        <v>252</v>
      </c>
      <c r="AW525">
        <v>3</v>
      </c>
      <c r="AX525">
        <v>1</v>
      </c>
      <c r="AY525">
        <v>0</v>
      </c>
      <c r="AZ525">
        <v>1</v>
      </c>
    </row>
    <row r="526" spans="1:52" x14ac:dyDescent="0.35">
      <c r="A526">
        <v>2025221560263</v>
      </c>
      <c r="B526">
        <v>2025</v>
      </c>
      <c r="C526">
        <v>221560263</v>
      </c>
      <c r="D526">
        <v>400168</v>
      </c>
      <c r="E526">
        <v>272822</v>
      </c>
      <c r="F526">
        <v>-1.9989600000000001</v>
      </c>
      <c r="G526">
        <v>52.353459999999998</v>
      </c>
      <c r="H526">
        <v>22</v>
      </c>
      <c r="I526">
        <v>2</v>
      </c>
      <c r="J526" t="str">
        <f>VLOOKUP(I526, Lookups!$B$1:$C$4, 2, FALSE)</f>
        <v>Serious</v>
      </c>
      <c r="K526">
        <v>1</v>
      </c>
      <c r="L526">
        <v>1</v>
      </c>
      <c r="M526" s="1">
        <v>45718</v>
      </c>
      <c r="N526">
        <v>1</v>
      </c>
      <c r="O526" t="str">
        <f>VLOOKUP(N526, Lookups!$B$6:$C$12, 2, FALSE)</f>
        <v>Sunday</v>
      </c>
      <c r="P526" s="2">
        <v>0.82986111111111116</v>
      </c>
      <c r="Q526">
        <v>-1</v>
      </c>
      <c r="R526" t="s">
        <v>47</v>
      </c>
      <c r="S526" t="s">
        <v>45</v>
      </c>
      <c r="T526" t="s">
        <v>45</v>
      </c>
      <c r="U526">
        <v>6</v>
      </c>
      <c r="V526" t="str">
        <f>VLOOKUP(U526, Lookups!$B$51:$C$57, 2, FALSE)</f>
        <v>Unclassified</v>
      </c>
      <c r="W526">
        <v>0</v>
      </c>
      <c r="X526" t="s">
        <v>362</v>
      </c>
      <c r="Y526">
        <v>6</v>
      </c>
      <c r="Z526" t="str">
        <f>VLOOKUP(Y526, Lookups!$B$14:$C$21, 2, FALSE)</f>
        <v>Single carriageway</v>
      </c>
      <c r="AA526">
        <v>60</v>
      </c>
      <c r="AB526">
        <v>-1</v>
      </c>
      <c r="AC526">
        <v>0</v>
      </c>
      <c r="AD526">
        <v>-1</v>
      </c>
      <c r="AE526">
        <v>0</v>
      </c>
      <c r="AF526">
        <v>-1</v>
      </c>
      <c r="AG526">
        <v>-1</v>
      </c>
      <c r="AH526">
        <v>-1</v>
      </c>
      <c r="AI526">
        <v>0</v>
      </c>
      <c r="AJ526">
        <v>6</v>
      </c>
      <c r="AK526" t="str">
        <f>VLOOKUP(AJ526, Lookups!$B$23:$C$28, 2, FALSE)</f>
        <v>Darkness (Unlit)</v>
      </c>
      <c r="AL526">
        <v>1</v>
      </c>
      <c r="AM526" t="str">
        <f>VLOOKUP(AL526, Lookups!$B$30:$C$39, 2, FALSE)</f>
        <v>Fine / Clear</v>
      </c>
      <c r="AN526">
        <v>1</v>
      </c>
      <c r="AO526" t="str">
        <f>VLOOKUP(AN526, Lookups!$B$41:$C$49, 2, FALSE)</f>
        <v>Dry</v>
      </c>
      <c r="AP526">
        <v>-1</v>
      </c>
      <c r="AQ526">
        <v>-1</v>
      </c>
      <c r="AR526">
        <v>0</v>
      </c>
      <c r="AS526">
        <v>2</v>
      </c>
      <c r="AT526">
        <v>1</v>
      </c>
      <c r="AU526">
        <v>2</v>
      </c>
      <c r="AV526" t="s">
        <v>184</v>
      </c>
      <c r="AW526">
        <v>7</v>
      </c>
      <c r="AX526">
        <v>1</v>
      </c>
      <c r="AY526">
        <v>1</v>
      </c>
      <c r="AZ526">
        <v>0</v>
      </c>
    </row>
    <row r="527" spans="1:52" x14ac:dyDescent="0.35">
      <c r="A527">
        <v>2025221590001</v>
      </c>
      <c r="B527">
        <v>2025</v>
      </c>
      <c r="C527">
        <v>221590001</v>
      </c>
      <c r="D527">
        <v>380102</v>
      </c>
      <c r="E527">
        <v>275956</v>
      </c>
      <c r="F527">
        <v>-2.2937500000000002</v>
      </c>
      <c r="G527">
        <v>52.381270000000001</v>
      </c>
      <c r="H527">
        <v>22</v>
      </c>
      <c r="I527">
        <v>3</v>
      </c>
      <c r="J527" t="str">
        <f>VLOOKUP(I527, Lookups!$B$1:$C$4, 2, FALSE)</f>
        <v>Slight</v>
      </c>
      <c r="K527">
        <v>3</v>
      </c>
      <c r="L527">
        <v>1</v>
      </c>
      <c r="M527" s="1">
        <v>45791</v>
      </c>
      <c r="N527">
        <v>4</v>
      </c>
      <c r="O527" t="str">
        <f>VLOOKUP(N527, Lookups!$B$6:$C$12, 2, FALSE)</f>
        <v>Wednesday</v>
      </c>
      <c r="P527" s="2">
        <v>0.58125000000000004</v>
      </c>
      <c r="Q527">
        <v>-1</v>
      </c>
      <c r="R527" t="s">
        <v>44</v>
      </c>
      <c r="S527" t="s">
        <v>45</v>
      </c>
      <c r="T527" t="s">
        <v>45</v>
      </c>
      <c r="U527">
        <v>3</v>
      </c>
      <c r="V527" t="str">
        <f>VLOOKUP(U527, Lookups!$B$51:$C$57, 2, FALSE)</f>
        <v>A</v>
      </c>
      <c r="W527">
        <v>456</v>
      </c>
      <c r="X527" t="str">
        <f t="shared" ref="X527:X530" si="72">V527&amp;W527</f>
        <v>A456</v>
      </c>
      <c r="Y527">
        <v>6</v>
      </c>
      <c r="Z527" t="str">
        <f>VLOOKUP(Y527, Lookups!$B$14:$C$21, 2, FALSE)</f>
        <v>Single carriageway</v>
      </c>
      <c r="AA527">
        <v>50</v>
      </c>
      <c r="AB527">
        <v>-1</v>
      </c>
      <c r="AC527">
        <v>0</v>
      </c>
      <c r="AD527">
        <v>-1</v>
      </c>
      <c r="AE527">
        <v>6</v>
      </c>
      <c r="AF527">
        <v>0</v>
      </c>
      <c r="AG527">
        <v>-1</v>
      </c>
      <c r="AH527">
        <v>-1</v>
      </c>
      <c r="AI527">
        <v>0</v>
      </c>
      <c r="AJ527">
        <v>1</v>
      </c>
      <c r="AK527" t="str">
        <f>VLOOKUP(AJ527, Lookups!$B$23:$C$28, 2, FALSE)</f>
        <v>Daylight</v>
      </c>
      <c r="AL527">
        <v>1</v>
      </c>
      <c r="AM527" t="str">
        <f>VLOOKUP(AL527, Lookups!$B$30:$C$39, 2, FALSE)</f>
        <v>Fine / Clear</v>
      </c>
      <c r="AN527">
        <v>1</v>
      </c>
      <c r="AO527" t="str">
        <f>VLOOKUP(AN527, Lookups!$B$41:$C$49, 2, FALSE)</f>
        <v>Dry</v>
      </c>
      <c r="AP527">
        <v>-1</v>
      </c>
      <c r="AQ527">
        <v>-1</v>
      </c>
      <c r="AR527">
        <v>0</v>
      </c>
      <c r="AS527">
        <v>2</v>
      </c>
      <c r="AT527">
        <v>1</v>
      </c>
      <c r="AU527">
        <v>2</v>
      </c>
      <c r="AV527" t="s">
        <v>91</v>
      </c>
      <c r="AW527">
        <v>3</v>
      </c>
      <c r="AX527">
        <v>1</v>
      </c>
      <c r="AY527">
        <v>0</v>
      </c>
      <c r="AZ527">
        <v>1</v>
      </c>
    </row>
    <row r="528" spans="1:52" x14ac:dyDescent="0.35">
      <c r="A528">
        <v>2025221664210</v>
      </c>
      <c r="B528">
        <v>2025</v>
      </c>
      <c r="C528">
        <v>221664210</v>
      </c>
      <c r="D528">
        <v>384920</v>
      </c>
      <c r="E528">
        <v>257241</v>
      </c>
      <c r="F528">
        <v>-2.2221299999999999</v>
      </c>
      <c r="G528">
        <v>52.213180000000001</v>
      </c>
      <c r="H528">
        <v>22</v>
      </c>
      <c r="I528">
        <v>3</v>
      </c>
      <c r="J528" t="str">
        <f>VLOOKUP(I528, Lookups!$B$1:$C$4, 2, FALSE)</f>
        <v>Slight</v>
      </c>
      <c r="K528">
        <v>2</v>
      </c>
      <c r="L528">
        <v>1</v>
      </c>
      <c r="M528" s="1">
        <v>45966</v>
      </c>
      <c r="N528">
        <v>4</v>
      </c>
      <c r="O528" t="str">
        <f>VLOOKUP(N528, Lookups!$B$6:$C$12, 2, FALSE)</f>
        <v>Wednesday</v>
      </c>
      <c r="P528" s="2">
        <v>0.90277777777777779</v>
      </c>
      <c r="Q528">
        <v>-1</v>
      </c>
      <c r="R528" t="s">
        <v>60</v>
      </c>
      <c r="S528" t="s">
        <v>45</v>
      </c>
      <c r="T528" t="s">
        <v>45</v>
      </c>
      <c r="U528">
        <v>3</v>
      </c>
      <c r="V528" t="str">
        <f>VLOOKUP(U528, Lookups!$B$51:$C$57, 2, FALSE)</f>
        <v>A</v>
      </c>
      <c r="W528">
        <v>38</v>
      </c>
      <c r="X528" t="str">
        <f t="shared" si="72"/>
        <v>A38</v>
      </c>
      <c r="Y528">
        <v>1</v>
      </c>
      <c r="Z528" t="str">
        <f>VLOOKUP(Y528, Lookups!$B$14:$C$21, 2, FALSE)</f>
        <v>Roundabout</v>
      </c>
      <c r="AA528">
        <v>30</v>
      </c>
      <c r="AB528">
        <v>-1</v>
      </c>
      <c r="AC528">
        <v>-1</v>
      </c>
      <c r="AD528">
        <v>4</v>
      </c>
      <c r="AE528">
        <v>4</v>
      </c>
      <c r="AF528">
        <v>4482</v>
      </c>
      <c r="AG528">
        <v>-1</v>
      </c>
      <c r="AH528">
        <v>-1</v>
      </c>
      <c r="AI528">
        <v>17</v>
      </c>
      <c r="AJ528">
        <v>4</v>
      </c>
      <c r="AK528" t="str">
        <f>VLOOKUP(AJ528, Lookups!$B$23:$C$28, 2, FALSE)</f>
        <v>Darkness (Lit)</v>
      </c>
      <c r="AL528">
        <v>1</v>
      </c>
      <c r="AM528" t="str">
        <f>VLOOKUP(AL528, Lookups!$B$30:$C$39, 2, FALSE)</f>
        <v>Fine / Clear</v>
      </c>
      <c r="AN528">
        <v>1</v>
      </c>
      <c r="AO528" t="str">
        <f>VLOOKUP(AN528, Lookups!$B$41:$C$49, 2, FALSE)</f>
        <v>Dry</v>
      </c>
      <c r="AP528">
        <v>-1</v>
      </c>
      <c r="AQ528">
        <v>-1</v>
      </c>
      <c r="AR528">
        <v>0</v>
      </c>
      <c r="AS528">
        <v>1</v>
      </c>
      <c r="AT528">
        <v>1</v>
      </c>
      <c r="AU528">
        <v>2</v>
      </c>
      <c r="AV528" t="s">
        <v>283</v>
      </c>
      <c r="AW528">
        <v>3</v>
      </c>
      <c r="AX528">
        <v>1</v>
      </c>
      <c r="AY528">
        <v>0</v>
      </c>
      <c r="AZ528">
        <v>1</v>
      </c>
    </row>
    <row r="529" spans="1:52" x14ac:dyDescent="0.35">
      <c r="A529">
        <v>2025221649045</v>
      </c>
      <c r="B529">
        <v>2025</v>
      </c>
      <c r="C529">
        <v>221649045</v>
      </c>
      <c r="D529">
        <v>387059</v>
      </c>
      <c r="E529">
        <v>245122</v>
      </c>
      <c r="F529">
        <v>-2.19035</v>
      </c>
      <c r="G529">
        <v>52.104280000000003</v>
      </c>
      <c r="H529">
        <v>22</v>
      </c>
      <c r="I529">
        <v>3</v>
      </c>
      <c r="J529" t="str">
        <f>VLOOKUP(I529, Lookups!$B$1:$C$4, 2, FALSE)</f>
        <v>Slight</v>
      </c>
      <c r="K529">
        <v>2</v>
      </c>
      <c r="L529">
        <v>4</v>
      </c>
      <c r="M529" s="1">
        <v>45929</v>
      </c>
      <c r="N529">
        <v>2</v>
      </c>
      <c r="O529" t="str">
        <f>VLOOKUP(N529, Lookups!$B$6:$C$12, 2, FALSE)</f>
        <v>Monday</v>
      </c>
      <c r="P529" s="2">
        <v>0.31597222222222221</v>
      </c>
      <c r="Q529">
        <v>-1</v>
      </c>
      <c r="R529" t="s">
        <v>49</v>
      </c>
      <c r="S529" t="s">
        <v>45</v>
      </c>
      <c r="T529" t="s">
        <v>45</v>
      </c>
      <c r="U529">
        <v>1</v>
      </c>
      <c r="V529" t="str">
        <f>VLOOKUP(U529, Lookups!$B$51:$C$57, 2, FALSE)</f>
        <v>M</v>
      </c>
      <c r="W529">
        <v>5</v>
      </c>
      <c r="X529" t="str">
        <f t="shared" si="72"/>
        <v>M5</v>
      </c>
      <c r="Y529">
        <v>3</v>
      </c>
      <c r="Z529" t="str">
        <f>VLOOKUP(Y529, Lookups!$B$14:$C$21, 2, FALSE)</f>
        <v>Dual carriageway</v>
      </c>
      <c r="AA529">
        <v>70</v>
      </c>
      <c r="AB529">
        <v>-1</v>
      </c>
      <c r="AC529">
        <v>0</v>
      </c>
      <c r="AD529">
        <v>-1</v>
      </c>
      <c r="AE529">
        <v>0</v>
      </c>
      <c r="AF529">
        <v>-1</v>
      </c>
      <c r="AG529">
        <v>-1</v>
      </c>
      <c r="AH529">
        <v>-1</v>
      </c>
      <c r="AI529">
        <v>0</v>
      </c>
      <c r="AJ529">
        <v>1</v>
      </c>
      <c r="AK529" t="str">
        <f>VLOOKUP(AJ529, Lookups!$B$23:$C$28, 2, FALSE)</f>
        <v>Daylight</v>
      </c>
      <c r="AL529">
        <v>1</v>
      </c>
      <c r="AM529" t="str">
        <f>VLOOKUP(AL529, Lookups!$B$30:$C$39, 2, FALSE)</f>
        <v>Fine / Clear</v>
      </c>
      <c r="AN529">
        <v>1</v>
      </c>
      <c r="AO529" t="str">
        <f>VLOOKUP(AN529, Lookups!$B$41:$C$49, 2, FALSE)</f>
        <v>Dry</v>
      </c>
      <c r="AP529">
        <v>-1</v>
      </c>
      <c r="AQ529">
        <v>-1</v>
      </c>
      <c r="AR529">
        <v>0</v>
      </c>
      <c r="AS529">
        <v>2</v>
      </c>
      <c r="AT529">
        <v>1</v>
      </c>
      <c r="AU529">
        <v>1</v>
      </c>
      <c r="AV529" t="s">
        <v>50</v>
      </c>
      <c r="AW529">
        <v>3</v>
      </c>
      <c r="AX529">
        <v>1</v>
      </c>
      <c r="AY529">
        <v>0</v>
      </c>
      <c r="AZ529">
        <v>1</v>
      </c>
    </row>
    <row r="530" spans="1:52" x14ac:dyDescent="0.35">
      <c r="A530">
        <v>2025221652779</v>
      </c>
      <c r="B530">
        <v>2025</v>
      </c>
      <c r="C530">
        <v>221652779</v>
      </c>
      <c r="D530">
        <v>391852</v>
      </c>
      <c r="E530">
        <v>265787</v>
      </c>
      <c r="F530">
        <v>-2.1208800000000001</v>
      </c>
      <c r="G530">
        <v>52.29016</v>
      </c>
      <c r="H530">
        <v>22</v>
      </c>
      <c r="I530">
        <v>2</v>
      </c>
      <c r="J530" t="str">
        <f>VLOOKUP(I530, Lookups!$B$1:$C$4, 2, FALSE)</f>
        <v>Serious</v>
      </c>
      <c r="K530">
        <v>2</v>
      </c>
      <c r="L530">
        <v>2</v>
      </c>
      <c r="M530" s="1">
        <v>45929</v>
      </c>
      <c r="N530">
        <v>2</v>
      </c>
      <c r="O530" t="str">
        <f>VLOOKUP(N530, Lookups!$B$6:$C$12, 2, FALSE)</f>
        <v>Monday</v>
      </c>
      <c r="P530" s="2">
        <v>0.59722222222222221</v>
      </c>
      <c r="Q530">
        <v>-1</v>
      </c>
      <c r="R530" t="s">
        <v>54</v>
      </c>
      <c r="S530" t="s">
        <v>45</v>
      </c>
      <c r="T530" t="s">
        <v>45</v>
      </c>
      <c r="U530">
        <v>1</v>
      </c>
      <c r="V530" t="str">
        <f>VLOOKUP(U530, Lookups!$B$51:$C$57, 2, FALSE)</f>
        <v>M</v>
      </c>
      <c r="W530">
        <v>5</v>
      </c>
      <c r="X530" t="str">
        <f t="shared" si="72"/>
        <v>M5</v>
      </c>
      <c r="Y530">
        <v>3</v>
      </c>
      <c r="Z530" t="str">
        <f>VLOOKUP(Y530, Lookups!$B$14:$C$21, 2, FALSE)</f>
        <v>Dual carriageway</v>
      </c>
      <c r="AA530">
        <v>70</v>
      </c>
      <c r="AB530">
        <v>-1</v>
      </c>
      <c r="AC530">
        <v>-1</v>
      </c>
      <c r="AD530">
        <v>4</v>
      </c>
      <c r="AE530">
        <v>1</v>
      </c>
      <c r="AF530">
        <v>5</v>
      </c>
      <c r="AG530">
        <v>-1</v>
      </c>
      <c r="AH530">
        <v>-1</v>
      </c>
      <c r="AI530">
        <v>0</v>
      </c>
      <c r="AJ530">
        <v>1</v>
      </c>
      <c r="AK530" t="str">
        <f>VLOOKUP(AJ530, Lookups!$B$23:$C$28, 2, FALSE)</f>
        <v>Daylight</v>
      </c>
      <c r="AL530">
        <v>1</v>
      </c>
      <c r="AM530" t="str">
        <f>VLOOKUP(AL530, Lookups!$B$30:$C$39, 2, FALSE)</f>
        <v>Fine / Clear</v>
      </c>
      <c r="AN530">
        <v>1</v>
      </c>
      <c r="AO530" t="str">
        <f>VLOOKUP(AN530, Lookups!$B$41:$C$49, 2, FALSE)</f>
        <v>Dry</v>
      </c>
      <c r="AP530">
        <v>-1</v>
      </c>
      <c r="AQ530">
        <v>-1</v>
      </c>
      <c r="AR530">
        <v>0</v>
      </c>
      <c r="AS530">
        <v>2</v>
      </c>
      <c r="AT530">
        <v>1</v>
      </c>
      <c r="AU530">
        <v>1</v>
      </c>
      <c r="AV530" t="s">
        <v>131</v>
      </c>
      <c r="AW530">
        <v>6</v>
      </c>
      <c r="AX530">
        <v>1</v>
      </c>
      <c r="AY530">
        <v>1</v>
      </c>
      <c r="AZ530">
        <v>0</v>
      </c>
    </row>
    <row r="531" spans="1:52" x14ac:dyDescent="0.35">
      <c r="A531">
        <v>2025221585591</v>
      </c>
      <c r="B531">
        <v>2025</v>
      </c>
      <c r="C531">
        <v>221585591</v>
      </c>
      <c r="D531">
        <v>395311</v>
      </c>
      <c r="E531">
        <v>272033</v>
      </c>
      <c r="F531">
        <v>-2.0702600000000002</v>
      </c>
      <c r="G531">
        <v>52.346350000000001</v>
      </c>
      <c r="H531">
        <v>22</v>
      </c>
      <c r="I531">
        <v>3</v>
      </c>
      <c r="J531" t="str">
        <f>VLOOKUP(I531, Lookups!$B$1:$C$4, 2, FALSE)</f>
        <v>Slight</v>
      </c>
      <c r="K531">
        <v>2</v>
      </c>
      <c r="L531">
        <v>1</v>
      </c>
      <c r="M531" s="1">
        <v>45780</v>
      </c>
      <c r="N531">
        <v>7</v>
      </c>
      <c r="O531" t="str">
        <f>VLOOKUP(N531, Lookups!$B$6:$C$12, 2, FALSE)</f>
        <v>Saturday</v>
      </c>
      <c r="P531" s="2">
        <v>0.79166666666666663</v>
      </c>
      <c r="Q531">
        <v>-1</v>
      </c>
      <c r="R531" t="s">
        <v>47</v>
      </c>
      <c r="S531" t="s">
        <v>45</v>
      </c>
      <c r="T531" t="s">
        <v>45</v>
      </c>
      <c r="U531">
        <v>6</v>
      </c>
      <c r="V531" t="str">
        <f>VLOOKUP(U531, Lookups!$B$51:$C$57, 2, FALSE)</f>
        <v>Unclassified</v>
      </c>
      <c r="W531">
        <v>0</v>
      </c>
      <c r="X531" t="s">
        <v>362</v>
      </c>
      <c r="Y531">
        <v>6</v>
      </c>
      <c r="Z531" t="str">
        <f>VLOOKUP(Y531, Lookups!$B$14:$C$21, 2, FALSE)</f>
        <v>Single carriageway</v>
      </c>
      <c r="AA531">
        <v>30</v>
      </c>
      <c r="AB531">
        <v>-1</v>
      </c>
      <c r="AC531">
        <v>13</v>
      </c>
      <c r="AD531">
        <v>4</v>
      </c>
      <c r="AE531">
        <v>6</v>
      </c>
      <c r="AF531">
        <v>0</v>
      </c>
      <c r="AG531">
        <v>-1</v>
      </c>
      <c r="AH531">
        <v>-1</v>
      </c>
      <c r="AI531">
        <v>0</v>
      </c>
      <c r="AJ531">
        <v>1</v>
      </c>
      <c r="AK531" t="str">
        <f>VLOOKUP(AJ531, Lookups!$B$23:$C$28, 2, FALSE)</f>
        <v>Daylight</v>
      </c>
      <c r="AL531">
        <v>1</v>
      </c>
      <c r="AM531" t="str">
        <f>VLOOKUP(AL531, Lookups!$B$30:$C$39, 2, FALSE)</f>
        <v>Fine / Clear</v>
      </c>
      <c r="AN531">
        <v>1</v>
      </c>
      <c r="AO531" t="str">
        <f>VLOOKUP(AN531, Lookups!$B$41:$C$49, 2, FALSE)</f>
        <v>Dry</v>
      </c>
      <c r="AP531">
        <v>-1</v>
      </c>
      <c r="AQ531">
        <v>-1</v>
      </c>
      <c r="AR531">
        <v>0</v>
      </c>
      <c r="AS531">
        <v>1</v>
      </c>
      <c r="AT531">
        <v>3</v>
      </c>
      <c r="AU531">
        <v>2</v>
      </c>
      <c r="AV531" t="s">
        <v>147</v>
      </c>
      <c r="AW531">
        <v>3</v>
      </c>
      <c r="AX531">
        <v>1</v>
      </c>
      <c r="AY531">
        <v>0</v>
      </c>
      <c r="AZ531">
        <v>1</v>
      </c>
    </row>
    <row r="532" spans="1:52" x14ac:dyDescent="0.35">
      <c r="A532">
        <v>2025221605518</v>
      </c>
      <c r="B532">
        <v>2025</v>
      </c>
      <c r="C532">
        <v>221605518</v>
      </c>
      <c r="D532">
        <v>384719</v>
      </c>
      <c r="E532">
        <v>255790</v>
      </c>
      <c r="F532">
        <v>-2.2250000000000001</v>
      </c>
      <c r="G532">
        <v>52.200130000000001</v>
      </c>
      <c r="H532">
        <v>22</v>
      </c>
      <c r="I532">
        <v>2</v>
      </c>
      <c r="J532" t="str">
        <f>VLOOKUP(I532, Lookups!$B$1:$C$4, 2, FALSE)</f>
        <v>Serious</v>
      </c>
      <c r="K532">
        <v>2</v>
      </c>
      <c r="L532">
        <v>1</v>
      </c>
      <c r="M532" s="1">
        <v>45828</v>
      </c>
      <c r="N532">
        <v>6</v>
      </c>
      <c r="O532" t="str">
        <f>VLOOKUP(N532, Lookups!$B$6:$C$12, 2, FALSE)</f>
        <v>Friday</v>
      </c>
      <c r="P532" s="2">
        <v>0.5</v>
      </c>
      <c r="Q532">
        <v>-1</v>
      </c>
      <c r="R532" t="s">
        <v>60</v>
      </c>
      <c r="S532" t="s">
        <v>45</v>
      </c>
      <c r="T532" t="s">
        <v>45</v>
      </c>
      <c r="U532">
        <v>3</v>
      </c>
      <c r="V532" t="str">
        <f>VLOOKUP(U532, Lookups!$B$51:$C$57, 2, FALSE)</f>
        <v>A</v>
      </c>
      <c r="W532">
        <v>38</v>
      </c>
      <c r="X532" t="str">
        <f t="shared" ref="X532:X533" si="73">V532&amp;W532</f>
        <v>A38</v>
      </c>
      <c r="Y532">
        <v>6</v>
      </c>
      <c r="Z532" t="str">
        <f>VLOOKUP(Y532, Lookups!$B$14:$C$21, 2, FALSE)</f>
        <v>Single carriageway</v>
      </c>
      <c r="AA532">
        <v>30</v>
      </c>
      <c r="AB532">
        <v>-1</v>
      </c>
      <c r="AC532">
        <v>0</v>
      </c>
      <c r="AD532">
        <v>-1</v>
      </c>
      <c r="AE532">
        <v>6</v>
      </c>
      <c r="AF532">
        <v>0</v>
      </c>
      <c r="AG532">
        <v>-1</v>
      </c>
      <c r="AH532">
        <v>-1</v>
      </c>
      <c r="AI532">
        <v>0</v>
      </c>
      <c r="AJ532">
        <v>1</v>
      </c>
      <c r="AK532" t="str">
        <f>VLOOKUP(AJ532, Lookups!$B$23:$C$28, 2, FALSE)</f>
        <v>Daylight</v>
      </c>
      <c r="AL532">
        <v>1</v>
      </c>
      <c r="AM532" t="str">
        <f>VLOOKUP(AL532, Lookups!$B$30:$C$39, 2, FALSE)</f>
        <v>Fine / Clear</v>
      </c>
      <c r="AN532">
        <v>1</v>
      </c>
      <c r="AO532" t="str">
        <f>VLOOKUP(AN532, Lookups!$B$41:$C$49, 2, FALSE)</f>
        <v>Dry</v>
      </c>
      <c r="AP532">
        <v>-1</v>
      </c>
      <c r="AQ532">
        <v>-1</v>
      </c>
      <c r="AR532">
        <v>0</v>
      </c>
      <c r="AS532">
        <v>1</v>
      </c>
      <c r="AT532">
        <v>1</v>
      </c>
      <c r="AU532">
        <v>2</v>
      </c>
      <c r="AV532" t="s">
        <v>88</v>
      </c>
      <c r="AW532">
        <v>6</v>
      </c>
      <c r="AX532">
        <v>1</v>
      </c>
      <c r="AY532">
        <v>1</v>
      </c>
      <c r="AZ532">
        <v>0</v>
      </c>
    </row>
    <row r="533" spans="1:52" x14ac:dyDescent="0.35">
      <c r="A533">
        <v>2025221639393</v>
      </c>
      <c r="B533">
        <v>2025</v>
      </c>
      <c r="C533">
        <v>221639393</v>
      </c>
      <c r="D533">
        <v>386844</v>
      </c>
      <c r="E533">
        <v>258326</v>
      </c>
      <c r="F533">
        <v>-2.19401</v>
      </c>
      <c r="G533">
        <v>52.22298</v>
      </c>
      <c r="H533">
        <v>22</v>
      </c>
      <c r="I533">
        <v>1</v>
      </c>
      <c r="J533" t="str">
        <f>VLOOKUP(I533, Lookups!$B$1:$C$4, 2, FALSE)</f>
        <v>Fatal</v>
      </c>
      <c r="K533">
        <v>1</v>
      </c>
      <c r="L533">
        <v>1</v>
      </c>
      <c r="M533" s="1">
        <v>45907</v>
      </c>
      <c r="N533">
        <v>1</v>
      </c>
      <c r="O533" t="str">
        <f>VLOOKUP(N533, Lookups!$B$6:$C$12, 2, FALSE)</f>
        <v>Sunday</v>
      </c>
      <c r="P533" s="2">
        <v>0.54722222222222228</v>
      </c>
      <c r="Q533">
        <v>-1</v>
      </c>
      <c r="R533" t="s">
        <v>60</v>
      </c>
      <c r="S533" t="s">
        <v>45</v>
      </c>
      <c r="T533" t="s">
        <v>45</v>
      </c>
      <c r="U533">
        <v>3</v>
      </c>
      <c r="V533" t="str">
        <f>VLOOKUP(U533, Lookups!$B$51:$C$57, 2, FALSE)</f>
        <v>A</v>
      </c>
      <c r="W533">
        <v>449</v>
      </c>
      <c r="X533" t="str">
        <f t="shared" si="73"/>
        <v>A449</v>
      </c>
      <c r="Y533">
        <v>3</v>
      </c>
      <c r="Z533" t="str">
        <f>VLOOKUP(Y533, Lookups!$B$14:$C$21, 2, FALSE)</f>
        <v>Dual carriageway</v>
      </c>
      <c r="AA533">
        <v>70</v>
      </c>
      <c r="AB533">
        <v>-1</v>
      </c>
      <c r="AC533">
        <v>0</v>
      </c>
      <c r="AD533">
        <v>-1</v>
      </c>
      <c r="AE533">
        <v>0</v>
      </c>
      <c r="AF533">
        <v>-1</v>
      </c>
      <c r="AG533">
        <v>-1</v>
      </c>
      <c r="AH533">
        <v>-1</v>
      </c>
      <c r="AI533">
        <v>0</v>
      </c>
      <c r="AJ533">
        <v>1</v>
      </c>
      <c r="AK533" t="str">
        <f>VLOOKUP(AJ533, Lookups!$B$23:$C$28, 2, FALSE)</f>
        <v>Daylight</v>
      </c>
      <c r="AL533">
        <v>1</v>
      </c>
      <c r="AM533" t="str">
        <f>VLOOKUP(AL533, Lookups!$B$30:$C$39, 2, FALSE)</f>
        <v>Fine / Clear</v>
      </c>
      <c r="AN533">
        <v>1</v>
      </c>
      <c r="AO533" t="str">
        <f>VLOOKUP(AN533, Lookups!$B$41:$C$49, 2, FALSE)</f>
        <v>Dry</v>
      </c>
      <c r="AP533">
        <v>-1</v>
      </c>
      <c r="AQ533">
        <v>-1</v>
      </c>
      <c r="AR533">
        <v>0</v>
      </c>
      <c r="AS533">
        <v>2</v>
      </c>
      <c r="AT533">
        <v>1</v>
      </c>
      <c r="AU533">
        <v>2</v>
      </c>
      <c r="AV533" t="s">
        <v>130</v>
      </c>
      <c r="AW533">
        <v>1</v>
      </c>
      <c r="AX533">
        <v>1</v>
      </c>
      <c r="AY533">
        <v>0</v>
      </c>
      <c r="AZ533">
        <v>0</v>
      </c>
    </row>
    <row r="534" spans="1:52" x14ac:dyDescent="0.35">
      <c r="A534">
        <v>2025221650759</v>
      </c>
      <c r="B534">
        <v>2025</v>
      </c>
      <c r="C534">
        <v>221650759</v>
      </c>
      <c r="D534">
        <v>384242</v>
      </c>
      <c r="E534">
        <v>257950</v>
      </c>
      <c r="F534">
        <v>-2.2320799999999998</v>
      </c>
      <c r="G534">
        <v>52.219529999999999</v>
      </c>
      <c r="H534">
        <v>22</v>
      </c>
      <c r="I534">
        <v>3</v>
      </c>
      <c r="J534" t="str">
        <f>VLOOKUP(I534, Lookups!$B$1:$C$4, 2, FALSE)</f>
        <v>Slight</v>
      </c>
      <c r="K534">
        <v>2</v>
      </c>
      <c r="L534">
        <v>1</v>
      </c>
      <c r="M534" s="1">
        <v>45936</v>
      </c>
      <c r="N534">
        <v>2</v>
      </c>
      <c r="O534" t="str">
        <f>VLOOKUP(N534, Lookups!$B$6:$C$12, 2, FALSE)</f>
        <v>Monday</v>
      </c>
      <c r="P534" s="2">
        <v>0.35138888888888886</v>
      </c>
      <c r="Q534">
        <v>-1</v>
      </c>
      <c r="R534" t="s">
        <v>60</v>
      </c>
      <c r="S534" t="s">
        <v>45</v>
      </c>
      <c r="T534" t="s">
        <v>45</v>
      </c>
      <c r="U534">
        <v>6</v>
      </c>
      <c r="V534" t="str">
        <f>VLOOKUP(U534, Lookups!$B$51:$C$57, 2, FALSE)</f>
        <v>Unclassified</v>
      </c>
      <c r="W534">
        <v>0</v>
      </c>
      <c r="X534" t="s">
        <v>362</v>
      </c>
      <c r="Y534">
        <v>6</v>
      </c>
      <c r="Z534" t="str">
        <f>VLOOKUP(Y534, Lookups!$B$14:$C$21, 2, FALSE)</f>
        <v>Single carriageway</v>
      </c>
      <c r="AA534">
        <v>30</v>
      </c>
      <c r="AB534">
        <v>-1</v>
      </c>
      <c r="AC534">
        <v>0</v>
      </c>
      <c r="AD534">
        <v>-1</v>
      </c>
      <c r="AE534">
        <v>6</v>
      </c>
      <c r="AF534">
        <v>0</v>
      </c>
      <c r="AG534">
        <v>-1</v>
      </c>
      <c r="AH534">
        <v>-1</v>
      </c>
      <c r="AI534">
        <v>0</v>
      </c>
      <c r="AJ534">
        <v>1</v>
      </c>
      <c r="AK534" t="str">
        <f>VLOOKUP(AJ534, Lookups!$B$23:$C$28, 2, FALSE)</f>
        <v>Daylight</v>
      </c>
      <c r="AL534">
        <v>1</v>
      </c>
      <c r="AM534" t="str">
        <f>VLOOKUP(AL534, Lookups!$B$30:$C$39, 2, FALSE)</f>
        <v>Fine / Clear</v>
      </c>
      <c r="AN534">
        <v>1</v>
      </c>
      <c r="AO534" t="str">
        <f>VLOOKUP(AN534, Lookups!$B$41:$C$49, 2, FALSE)</f>
        <v>Dry</v>
      </c>
      <c r="AP534">
        <v>-1</v>
      </c>
      <c r="AQ534">
        <v>-1</v>
      </c>
      <c r="AR534">
        <v>0</v>
      </c>
      <c r="AS534">
        <v>1</v>
      </c>
      <c r="AT534">
        <v>3</v>
      </c>
      <c r="AU534">
        <v>2</v>
      </c>
      <c r="AV534" t="s">
        <v>270</v>
      </c>
      <c r="AW534">
        <v>3</v>
      </c>
      <c r="AX534">
        <v>1</v>
      </c>
      <c r="AY534">
        <v>0</v>
      </c>
      <c r="AZ534">
        <v>1</v>
      </c>
    </row>
    <row r="535" spans="1:52" x14ac:dyDescent="0.35">
      <c r="A535">
        <v>2025221654667</v>
      </c>
      <c r="B535">
        <v>2025</v>
      </c>
      <c r="C535">
        <v>221654667</v>
      </c>
      <c r="D535">
        <v>386658</v>
      </c>
      <c r="E535">
        <v>277690</v>
      </c>
      <c r="F535">
        <v>-2.1975099999999999</v>
      </c>
      <c r="G535">
        <v>52.397060000000003</v>
      </c>
      <c r="H535">
        <v>22</v>
      </c>
      <c r="I535">
        <v>3</v>
      </c>
      <c r="J535" t="str">
        <f>VLOOKUP(I535, Lookups!$B$1:$C$4, 2, FALSE)</f>
        <v>Slight</v>
      </c>
      <c r="K535">
        <v>2</v>
      </c>
      <c r="L535">
        <v>1</v>
      </c>
      <c r="M535" s="1">
        <v>45945</v>
      </c>
      <c r="N535">
        <v>4</v>
      </c>
      <c r="O535" t="str">
        <f>VLOOKUP(N535, Lookups!$B$6:$C$12, 2, FALSE)</f>
        <v>Wednesday</v>
      </c>
      <c r="P535" s="2">
        <v>0.27083333333333331</v>
      </c>
      <c r="Q535">
        <v>-1</v>
      </c>
      <c r="R535" t="s">
        <v>44</v>
      </c>
      <c r="S535" t="s">
        <v>45</v>
      </c>
      <c r="T535" t="s">
        <v>45</v>
      </c>
      <c r="U535">
        <v>3</v>
      </c>
      <c r="V535" t="str">
        <f>VLOOKUP(U535, Lookups!$B$51:$C$57, 2, FALSE)</f>
        <v>A</v>
      </c>
      <c r="W535">
        <v>456</v>
      </c>
      <c r="X535" t="str">
        <f>V535&amp;W535</f>
        <v>A456</v>
      </c>
      <c r="Y535">
        <v>3</v>
      </c>
      <c r="Z535" t="str">
        <f>VLOOKUP(Y535, Lookups!$B$14:$C$21, 2, FALSE)</f>
        <v>Dual carriageway</v>
      </c>
      <c r="AA535">
        <v>60</v>
      </c>
      <c r="AB535">
        <v>-1</v>
      </c>
      <c r="AC535">
        <v>13</v>
      </c>
      <c r="AD535">
        <v>4</v>
      </c>
      <c r="AE535">
        <v>6</v>
      </c>
      <c r="AF535">
        <v>0</v>
      </c>
      <c r="AG535">
        <v>-1</v>
      </c>
      <c r="AH535">
        <v>-1</v>
      </c>
      <c r="AI535">
        <v>0</v>
      </c>
      <c r="AJ535">
        <v>1</v>
      </c>
      <c r="AK535" t="str">
        <f>VLOOKUP(AJ535, Lookups!$B$23:$C$28, 2, FALSE)</f>
        <v>Daylight</v>
      </c>
      <c r="AL535">
        <v>1</v>
      </c>
      <c r="AM535" t="str">
        <f>VLOOKUP(AL535, Lookups!$B$30:$C$39, 2, FALSE)</f>
        <v>Fine / Clear</v>
      </c>
      <c r="AN535">
        <v>1</v>
      </c>
      <c r="AO535" t="str">
        <f>VLOOKUP(AN535, Lookups!$B$41:$C$49, 2, FALSE)</f>
        <v>Dry</v>
      </c>
      <c r="AP535">
        <v>-1</v>
      </c>
      <c r="AQ535">
        <v>-1</v>
      </c>
      <c r="AR535">
        <v>0</v>
      </c>
      <c r="AS535">
        <v>2</v>
      </c>
      <c r="AT535">
        <v>1</v>
      </c>
      <c r="AU535">
        <v>2</v>
      </c>
      <c r="AV535" t="s">
        <v>80</v>
      </c>
      <c r="AW535">
        <v>3</v>
      </c>
      <c r="AX535">
        <v>1</v>
      </c>
      <c r="AY535">
        <v>0</v>
      </c>
      <c r="AZ535">
        <v>1</v>
      </c>
    </row>
    <row r="536" spans="1:52" x14ac:dyDescent="0.35">
      <c r="A536">
        <v>2025221683604</v>
      </c>
      <c r="B536">
        <v>2025</v>
      </c>
      <c r="C536">
        <v>221683604</v>
      </c>
      <c r="D536">
        <v>380457</v>
      </c>
      <c r="E536">
        <v>256151</v>
      </c>
      <c r="F536">
        <v>-2.2873800000000002</v>
      </c>
      <c r="G536">
        <v>52.203240000000001</v>
      </c>
      <c r="H536">
        <v>22</v>
      </c>
      <c r="I536">
        <v>3</v>
      </c>
      <c r="J536" t="str">
        <f>VLOOKUP(I536, Lookups!$B$1:$C$4, 2, FALSE)</f>
        <v>Slight</v>
      </c>
      <c r="K536">
        <v>1</v>
      </c>
      <c r="L536">
        <v>1</v>
      </c>
      <c r="M536" s="1">
        <v>46007</v>
      </c>
      <c r="N536">
        <v>3</v>
      </c>
      <c r="O536" t="str">
        <f>VLOOKUP(N536, Lookups!$B$6:$C$12, 2, FALSE)</f>
        <v>Tuesday</v>
      </c>
      <c r="P536" s="2">
        <v>0.25</v>
      </c>
      <c r="Q536">
        <v>-1</v>
      </c>
      <c r="R536" t="s">
        <v>49</v>
      </c>
      <c r="S536" t="s">
        <v>45</v>
      </c>
      <c r="T536" t="s">
        <v>45</v>
      </c>
      <c r="U536">
        <v>6</v>
      </c>
      <c r="V536" t="str">
        <f>VLOOKUP(U536, Lookups!$B$51:$C$57, 2, FALSE)</f>
        <v>Unclassified</v>
      </c>
      <c r="W536">
        <v>0</v>
      </c>
      <c r="X536" t="s">
        <v>362</v>
      </c>
      <c r="Y536">
        <v>6</v>
      </c>
      <c r="Z536" t="str">
        <f>VLOOKUP(Y536, Lookups!$B$14:$C$21, 2, FALSE)</f>
        <v>Single carriageway</v>
      </c>
      <c r="AA536">
        <v>30</v>
      </c>
      <c r="AB536">
        <v>-1</v>
      </c>
      <c r="AC536">
        <v>0</v>
      </c>
      <c r="AD536">
        <v>-1</v>
      </c>
      <c r="AE536">
        <v>6</v>
      </c>
      <c r="AF536">
        <v>0</v>
      </c>
      <c r="AG536">
        <v>-1</v>
      </c>
      <c r="AH536">
        <v>-1</v>
      </c>
      <c r="AI536">
        <v>0</v>
      </c>
      <c r="AJ536">
        <v>6</v>
      </c>
      <c r="AK536" t="str">
        <f>VLOOKUP(AJ536, Lookups!$B$23:$C$28, 2, FALSE)</f>
        <v>Darkness (Unlit)</v>
      </c>
      <c r="AL536">
        <v>2</v>
      </c>
      <c r="AM536" t="str">
        <f>VLOOKUP(AL536, Lookups!$B$30:$C$39, 2, FALSE)</f>
        <v>Rain</v>
      </c>
      <c r="AN536">
        <v>2</v>
      </c>
      <c r="AO536" t="str">
        <f>VLOOKUP(AN536, Lookups!$B$41:$C$49, 2, FALSE)</f>
        <v>Wet / damp</v>
      </c>
      <c r="AP536">
        <v>-1</v>
      </c>
      <c r="AQ536">
        <v>-1</v>
      </c>
      <c r="AR536">
        <v>13</v>
      </c>
      <c r="AS536">
        <v>2</v>
      </c>
      <c r="AT536">
        <v>3</v>
      </c>
      <c r="AU536">
        <v>2</v>
      </c>
      <c r="AV536" t="s">
        <v>129</v>
      </c>
      <c r="AW536">
        <v>3</v>
      </c>
      <c r="AX536">
        <v>1</v>
      </c>
      <c r="AY536">
        <v>0</v>
      </c>
      <c r="AZ536">
        <v>1</v>
      </c>
    </row>
    <row r="537" spans="1:52" x14ac:dyDescent="0.35">
      <c r="A537">
        <v>2025221581394</v>
      </c>
      <c r="B537">
        <v>2025</v>
      </c>
      <c r="C537">
        <v>221581394</v>
      </c>
      <c r="D537">
        <v>391713</v>
      </c>
      <c r="E537">
        <v>281079</v>
      </c>
      <c r="F537">
        <v>-2.1233</v>
      </c>
      <c r="G537">
        <v>52.427630000000001</v>
      </c>
      <c r="H537">
        <v>22</v>
      </c>
      <c r="I537">
        <v>3</v>
      </c>
      <c r="J537" t="str">
        <f>VLOOKUP(I537, Lookups!$B$1:$C$4, 2, FALSE)</f>
        <v>Slight</v>
      </c>
      <c r="K537">
        <v>2</v>
      </c>
      <c r="L537">
        <v>1</v>
      </c>
      <c r="M537" s="1">
        <v>45767</v>
      </c>
      <c r="N537">
        <v>1</v>
      </c>
      <c r="O537" t="str">
        <f>VLOOKUP(N537, Lookups!$B$6:$C$12, 2, FALSE)</f>
        <v>Sunday</v>
      </c>
      <c r="P537" s="2">
        <v>0.80138888888888893</v>
      </c>
      <c r="Q537">
        <v>-1</v>
      </c>
      <c r="R537" t="s">
        <v>47</v>
      </c>
      <c r="S537" t="s">
        <v>45</v>
      </c>
      <c r="T537" t="s">
        <v>45</v>
      </c>
      <c r="U537">
        <v>3</v>
      </c>
      <c r="V537" t="str">
        <f>VLOOKUP(U537, Lookups!$B$51:$C$57, 2, FALSE)</f>
        <v>A</v>
      </c>
      <c r="W537">
        <v>456</v>
      </c>
      <c r="X537" t="str">
        <f t="shared" ref="X537:X541" si="74">V537&amp;W537</f>
        <v>A456</v>
      </c>
      <c r="Y537">
        <v>3</v>
      </c>
      <c r="Z537" t="str">
        <f>VLOOKUP(Y537, Lookups!$B$14:$C$21, 2, FALSE)</f>
        <v>Dual carriageway</v>
      </c>
      <c r="AA537">
        <v>50</v>
      </c>
      <c r="AB537">
        <v>-1</v>
      </c>
      <c r="AC537">
        <v>13</v>
      </c>
      <c r="AD537">
        <v>4</v>
      </c>
      <c r="AE537">
        <v>6</v>
      </c>
      <c r="AF537">
        <v>0</v>
      </c>
      <c r="AG537">
        <v>-1</v>
      </c>
      <c r="AH537">
        <v>-1</v>
      </c>
      <c r="AI537">
        <v>0</v>
      </c>
      <c r="AJ537">
        <v>1</v>
      </c>
      <c r="AK537" t="str">
        <f>VLOOKUP(AJ537, Lookups!$B$23:$C$28, 2, FALSE)</f>
        <v>Daylight</v>
      </c>
      <c r="AL537">
        <v>1</v>
      </c>
      <c r="AM537" t="str">
        <f>VLOOKUP(AL537, Lookups!$B$30:$C$39, 2, FALSE)</f>
        <v>Fine / Clear</v>
      </c>
      <c r="AN537">
        <v>1</v>
      </c>
      <c r="AO537" t="str">
        <f>VLOOKUP(AN537, Lookups!$B$41:$C$49, 2, FALSE)</f>
        <v>Dry</v>
      </c>
      <c r="AP537">
        <v>-1</v>
      </c>
      <c r="AQ537">
        <v>-1</v>
      </c>
      <c r="AR537">
        <v>0</v>
      </c>
      <c r="AS537">
        <v>1</v>
      </c>
      <c r="AT537">
        <v>1</v>
      </c>
      <c r="AU537">
        <v>2</v>
      </c>
      <c r="AV537" t="s">
        <v>73</v>
      </c>
      <c r="AW537">
        <v>3</v>
      </c>
      <c r="AX537">
        <v>1</v>
      </c>
      <c r="AY537">
        <v>0</v>
      </c>
      <c r="AZ537">
        <v>1</v>
      </c>
    </row>
    <row r="538" spans="1:52" x14ac:dyDescent="0.35">
      <c r="A538">
        <v>2025221586196</v>
      </c>
      <c r="B538">
        <v>2025</v>
      </c>
      <c r="C538">
        <v>221586196</v>
      </c>
      <c r="D538">
        <v>397761</v>
      </c>
      <c r="E538">
        <v>235140</v>
      </c>
      <c r="F538">
        <v>-2.0340400000000001</v>
      </c>
      <c r="G538">
        <v>52.014679999999998</v>
      </c>
      <c r="H538">
        <v>22</v>
      </c>
      <c r="I538">
        <v>3</v>
      </c>
      <c r="J538" t="str">
        <f>VLOOKUP(I538, Lookups!$B$1:$C$4, 2, FALSE)</f>
        <v>Slight</v>
      </c>
      <c r="K538">
        <v>2</v>
      </c>
      <c r="L538">
        <v>1</v>
      </c>
      <c r="M538" s="1">
        <v>45774</v>
      </c>
      <c r="N538">
        <v>1</v>
      </c>
      <c r="O538" t="str">
        <f>VLOOKUP(N538, Lookups!$B$6:$C$12, 2, FALSE)</f>
        <v>Sunday</v>
      </c>
      <c r="P538" s="2">
        <v>0.67708333333333337</v>
      </c>
      <c r="Q538">
        <v>-1</v>
      </c>
      <c r="R538" t="s">
        <v>54</v>
      </c>
      <c r="S538" t="s">
        <v>45</v>
      </c>
      <c r="T538" t="s">
        <v>45</v>
      </c>
      <c r="U538">
        <v>3</v>
      </c>
      <c r="V538" t="str">
        <f>VLOOKUP(U538, Lookups!$B$51:$C$57, 2, FALSE)</f>
        <v>A</v>
      </c>
      <c r="W538">
        <v>46</v>
      </c>
      <c r="X538" t="str">
        <f t="shared" si="74"/>
        <v>A46</v>
      </c>
      <c r="Y538">
        <v>6</v>
      </c>
      <c r="Z538" t="str">
        <f>VLOOKUP(Y538, Lookups!$B$14:$C$21, 2, FALSE)</f>
        <v>Single carriageway</v>
      </c>
      <c r="AA538">
        <v>40</v>
      </c>
      <c r="AB538">
        <v>-1</v>
      </c>
      <c r="AC538">
        <v>0</v>
      </c>
      <c r="AD538">
        <v>-1</v>
      </c>
      <c r="AE538">
        <v>0</v>
      </c>
      <c r="AF538">
        <v>-1</v>
      </c>
      <c r="AG538">
        <v>-1</v>
      </c>
      <c r="AH538">
        <v>-1</v>
      </c>
      <c r="AI538">
        <v>0</v>
      </c>
      <c r="AJ538">
        <v>1</v>
      </c>
      <c r="AK538" t="str">
        <f>VLOOKUP(AJ538, Lookups!$B$23:$C$28, 2, FALSE)</f>
        <v>Daylight</v>
      </c>
      <c r="AL538">
        <v>1</v>
      </c>
      <c r="AM538" t="str">
        <f>VLOOKUP(AL538, Lookups!$B$30:$C$39, 2, FALSE)</f>
        <v>Fine / Clear</v>
      </c>
      <c r="AN538">
        <v>1</v>
      </c>
      <c r="AO538" t="str">
        <f>VLOOKUP(AN538, Lookups!$B$41:$C$49, 2, FALSE)</f>
        <v>Dry</v>
      </c>
      <c r="AP538">
        <v>-1</v>
      </c>
      <c r="AQ538">
        <v>-1</v>
      </c>
      <c r="AR538">
        <v>0</v>
      </c>
      <c r="AS538">
        <v>2</v>
      </c>
      <c r="AT538">
        <v>3</v>
      </c>
      <c r="AU538">
        <v>1</v>
      </c>
      <c r="AV538" t="s">
        <v>284</v>
      </c>
      <c r="AW538">
        <v>3</v>
      </c>
      <c r="AX538">
        <v>1</v>
      </c>
      <c r="AY538">
        <v>0</v>
      </c>
      <c r="AZ538">
        <v>1</v>
      </c>
    </row>
    <row r="539" spans="1:52" x14ac:dyDescent="0.35">
      <c r="A539">
        <v>2025221635155</v>
      </c>
      <c r="B539">
        <v>2025</v>
      </c>
      <c r="C539">
        <v>221635155</v>
      </c>
      <c r="D539">
        <v>385373</v>
      </c>
      <c r="E539">
        <v>258830</v>
      </c>
      <c r="F539">
        <v>-2.21556</v>
      </c>
      <c r="G539">
        <v>52.227469999999997</v>
      </c>
      <c r="H539">
        <v>22</v>
      </c>
      <c r="I539">
        <v>2</v>
      </c>
      <c r="J539" t="str">
        <f>VLOOKUP(I539, Lookups!$B$1:$C$4, 2, FALSE)</f>
        <v>Serious</v>
      </c>
      <c r="K539">
        <v>1</v>
      </c>
      <c r="L539">
        <v>1</v>
      </c>
      <c r="M539" s="1">
        <v>45899</v>
      </c>
      <c r="N539">
        <v>7</v>
      </c>
      <c r="O539" t="str">
        <f>VLOOKUP(N539, Lookups!$B$6:$C$12, 2, FALSE)</f>
        <v>Saturday</v>
      </c>
      <c r="P539" s="2">
        <v>4.8611111111111112E-2</v>
      </c>
      <c r="Q539">
        <v>-1</v>
      </c>
      <c r="R539" t="s">
        <v>60</v>
      </c>
      <c r="S539" t="s">
        <v>45</v>
      </c>
      <c r="T539" t="s">
        <v>45</v>
      </c>
      <c r="U539">
        <v>3</v>
      </c>
      <c r="V539" t="str">
        <f>VLOOKUP(U539, Lookups!$B$51:$C$57, 2, FALSE)</f>
        <v>A</v>
      </c>
      <c r="W539">
        <v>449</v>
      </c>
      <c r="X539" t="str">
        <f t="shared" si="74"/>
        <v>A449</v>
      </c>
      <c r="Y539">
        <v>3</v>
      </c>
      <c r="Z539" t="str">
        <f>VLOOKUP(Y539, Lookups!$B$14:$C$21, 2, FALSE)</f>
        <v>Dual carriageway</v>
      </c>
      <c r="AA539">
        <v>60</v>
      </c>
      <c r="AB539">
        <v>-1</v>
      </c>
      <c r="AC539">
        <v>0</v>
      </c>
      <c r="AD539">
        <v>-1</v>
      </c>
      <c r="AE539">
        <v>0</v>
      </c>
      <c r="AF539">
        <v>-1</v>
      </c>
      <c r="AG539">
        <v>-1</v>
      </c>
      <c r="AH539">
        <v>-1</v>
      </c>
      <c r="AI539">
        <v>0</v>
      </c>
      <c r="AJ539">
        <v>6</v>
      </c>
      <c r="AK539" t="str">
        <f>VLOOKUP(AJ539, Lookups!$B$23:$C$28, 2, FALSE)</f>
        <v>Darkness (Unlit)</v>
      </c>
      <c r="AL539">
        <v>2</v>
      </c>
      <c r="AM539" t="str">
        <f>VLOOKUP(AL539, Lookups!$B$30:$C$39, 2, FALSE)</f>
        <v>Rain</v>
      </c>
      <c r="AN539">
        <v>2</v>
      </c>
      <c r="AO539" t="str">
        <f>VLOOKUP(AN539, Lookups!$B$41:$C$49, 2, FALSE)</f>
        <v>Wet / damp</v>
      </c>
      <c r="AP539">
        <v>-1</v>
      </c>
      <c r="AQ539">
        <v>-1</v>
      </c>
      <c r="AR539">
        <v>0</v>
      </c>
      <c r="AS539">
        <v>2</v>
      </c>
      <c r="AT539">
        <v>3</v>
      </c>
      <c r="AU539">
        <v>2</v>
      </c>
      <c r="AV539" t="s">
        <v>154</v>
      </c>
      <c r="AW539">
        <v>5</v>
      </c>
      <c r="AX539">
        <v>1</v>
      </c>
      <c r="AY539">
        <v>1</v>
      </c>
      <c r="AZ539">
        <v>0</v>
      </c>
    </row>
    <row r="540" spans="1:52" x14ac:dyDescent="0.35">
      <c r="A540">
        <v>2025221632613</v>
      </c>
      <c r="B540">
        <v>2025</v>
      </c>
      <c r="C540">
        <v>221632613</v>
      </c>
      <c r="D540">
        <v>407839</v>
      </c>
      <c r="E540">
        <v>275146</v>
      </c>
      <c r="F540">
        <v>-1.88628</v>
      </c>
      <c r="G540">
        <v>52.374299999999998</v>
      </c>
      <c r="H540">
        <v>22</v>
      </c>
      <c r="I540">
        <v>3</v>
      </c>
      <c r="J540" t="str">
        <f>VLOOKUP(I540, Lookups!$B$1:$C$4, 2, FALSE)</f>
        <v>Slight</v>
      </c>
      <c r="K540">
        <v>2</v>
      </c>
      <c r="L540">
        <v>1</v>
      </c>
      <c r="M540" s="1">
        <v>45892</v>
      </c>
      <c r="N540">
        <v>7</v>
      </c>
      <c r="O540" t="str">
        <f>VLOOKUP(N540, Lookups!$B$6:$C$12, 2, FALSE)</f>
        <v>Saturday</v>
      </c>
      <c r="P540" s="2">
        <v>0.90625</v>
      </c>
      <c r="Q540">
        <v>-1</v>
      </c>
      <c r="R540" t="s">
        <v>47</v>
      </c>
      <c r="S540" t="s">
        <v>45</v>
      </c>
      <c r="T540" t="s">
        <v>45</v>
      </c>
      <c r="U540">
        <v>3</v>
      </c>
      <c r="V540" t="str">
        <f>VLOOKUP(U540, Lookups!$B$51:$C$57, 2, FALSE)</f>
        <v>A</v>
      </c>
      <c r="W540">
        <v>435</v>
      </c>
      <c r="X540" t="str">
        <f t="shared" si="74"/>
        <v>A435</v>
      </c>
      <c r="Y540">
        <v>3</v>
      </c>
      <c r="Z540" t="str">
        <f>VLOOKUP(Y540, Lookups!$B$14:$C$21, 2, FALSE)</f>
        <v>Dual carriageway</v>
      </c>
      <c r="AA540">
        <v>70</v>
      </c>
      <c r="AB540">
        <v>-1</v>
      </c>
      <c r="AC540">
        <v>19</v>
      </c>
      <c r="AD540">
        <v>4</v>
      </c>
      <c r="AE540">
        <v>3</v>
      </c>
      <c r="AF540">
        <v>435</v>
      </c>
      <c r="AG540">
        <v>-1</v>
      </c>
      <c r="AH540">
        <v>-1</v>
      </c>
      <c r="AI540">
        <v>0</v>
      </c>
      <c r="AJ540">
        <v>4</v>
      </c>
      <c r="AK540" t="str">
        <f>VLOOKUP(AJ540, Lookups!$B$23:$C$28, 2, FALSE)</f>
        <v>Darkness (Lit)</v>
      </c>
      <c r="AL540">
        <v>1</v>
      </c>
      <c r="AM540" t="str">
        <f>VLOOKUP(AL540, Lookups!$B$30:$C$39, 2, FALSE)</f>
        <v>Fine / Clear</v>
      </c>
      <c r="AN540">
        <v>1</v>
      </c>
      <c r="AO540" t="str">
        <f>VLOOKUP(AN540, Lookups!$B$41:$C$49, 2, FALSE)</f>
        <v>Dry</v>
      </c>
      <c r="AP540">
        <v>-1</v>
      </c>
      <c r="AQ540">
        <v>-1</v>
      </c>
      <c r="AR540">
        <v>0</v>
      </c>
      <c r="AS540">
        <v>1</v>
      </c>
      <c r="AT540">
        <v>3</v>
      </c>
      <c r="AU540">
        <v>2</v>
      </c>
      <c r="AV540" t="s">
        <v>247</v>
      </c>
      <c r="AW540">
        <v>3</v>
      </c>
      <c r="AX540">
        <v>1</v>
      </c>
      <c r="AY540">
        <v>0</v>
      </c>
      <c r="AZ540">
        <v>1</v>
      </c>
    </row>
    <row r="541" spans="1:52" x14ac:dyDescent="0.35">
      <c r="A541">
        <v>2025221595033</v>
      </c>
      <c r="B541">
        <v>2025</v>
      </c>
      <c r="C541">
        <v>221595033</v>
      </c>
      <c r="D541">
        <v>376422</v>
      </c>
      <c r="E541">
        <v>246791</v>
      </c>
      <c r="F541">
        <v>-2.3457699999999999</v>
      </c>
      <c r="G541">
        <v>52.118929999999999</v>
      </c>
      <c r="H541">
        <v>22</v>
      </c>
      <c r="I541">
        <v>3</v>
      </c>
      <c r="J541" t="str">
        <f>VLOOKUP(I541, Lookups!$B$1:$C$4, 2, FALSE)</f>
        <v>Slight</v>
      </c>
      <c r="K541">
        <v>2</v>
      </c>
      <c r="L541">
        <v>3</v>
      </c>
      <c r="M541" s="1">
        <v>45804</v>
      </c>
      <c r="N541">
        <v>3</v>
      </c>
      <c r="O541" t="str">
        <f>VLOOKUP(N541, Lookups!$B$6:$C$12, 2, FALSE)</f>
        <v>Tuesday</v>
      </c>
      <c r="P541" s="2">
        <v>0.36944444444444446</v>
      </c>
      <c r="Q541">
        <v>-1</v>
      </c>
      <c r="R541" t="s">
        <v>49</v>
      </c>
      <c r="S541" t="s">
        <v>45</v>
      </c>
      <c r="T541" t="s">
        <v>45</v>
      </c>
      <c r="U541">
        <v>4</v>
      </c>
      <c r="V541" t="str">
        <f>VLOOKUP(U541, Lookups!$B$51:$C$57, 2, FALSE)</f>
        <v>B</v>
      </c>
      <c r="W541">
        <v>4232</v>
      </c>
      <c r="X541" t="str">
        <f t="shared" si="74"/>
        <v>B4232</v>
      </c>
      <c r="Y541">
        <v>6</v>
      </c>
      <c r="Z541" t="str">
        <f>VLOOKUP(Y541, Lookups!$B$14:$C$21, 2, FALSE)</f>
        <v>Single carriageway</v>
      </c>
      <c r="AA541">
        <v>30</v>
      </c>
      <c r="AB541">
        <v>-1</v>
      </c>
      <c r="AC541">
        <v>13</v>
      </c>
      <c r="AD541">
        <v>4</v>
      </c>
      <c r="AE541">
        <v>6</v>
      </c>
      <c r="AF541">
        <v>0</v>
      </c>
      <c r="AG541">
        <v>-1</v>
      </c>
      <c r="AH541">
        <v>-1</v>
      </c>
      <c r="AI541">
        <v>0</v>
      </c>
      <c r="AJ541">
        <v>1</v>
      </c>
      <c r="AK541" t="str">
        <f>VLOOKUP(AJ541, Lookups!$B$23:$C$28, 2, FALSE)</f>
        <v>Daylight</v>
      </c>
      <c r="AL541">
        <v>2</v>
      </c>
      <c r="AM541" t="str">
        <f>VLOOKUP(AL541, Lookups!$B$30:$C$39, 2, FALSE)</f>
        <v>Rain</v>
      </c>
      <c r="AN541">
        <v>2</v>
      </c>
      <c r="AO541" t="str">
        <f>VLOOKUP(AN541, Lookups!$B$41:$C$49, 2, FALSE)</f>
        <v>Wet / damp</v>
      </c>
      <c r="AP541">
        <v>-1</v>
      </c>
      <c r="AQ541">
        <v>-1</v>
      </c>
      <c r="AR541">
        <v>0</v>
      </c>
      <c r="AS541">
        <v>1</v>
      </c>
      <c r="AT541">
        <v>1</v>
      </c>
      <c r="AU541">
        <v>2</v>
      </c>
      <c r="AV541" t="s">
        <v>231</v>
      </c>
      <c r="AW541">
        <v>3</v>
      </c>
      <c r="AX541">
        <v>1</v>
      </c>
      <c r="AY541">
        <v>0</v>
      </c>
      <c r="AZ541">
        <v>1</v>
      </c>
    </row>
    <row r="542" spans="1:52" x14ac:dyDescent="0.35">
      <c r="A542">
        <v>2025221658598</v>
      </c>
      <c r="B542">
        <v>2025</v>
      </c>
      <c r="C542">
        <v>221658598</v>
      </c>
      <c r="D542">
        <v>382980</v>
      </c>
      <c r="E542">
        <v>273738</v>
      </c>
      <c r="F542">
        <v>-2.25136</v>
      </c>
      <c r="G542">
        <v>52.361429999999999</v>
      </c>
      <c r="H542">
        <v>22</v>
      </c>
      <c r="I542">
        <v>3</v>
      </c>
      <c r="J542" t="str">
        <f>VLOOKUP(I542, Lookups!$B$1:$C$4, 2, FALSE)</f>
        <v>Slight</v>
      </c>
      <c r="K542">
        <v>2</v>
      </c>
      <c r="L542">
        <v>1</v>
      </c>
      <c r="M542" s="1">
        <v>45946</v>
      </c>
      <c r="N542">
        <v>5</v>
      </c>
      <c r="O542" t="str">
        <f>VLOOKUP(N542, Lookups!$B$6:$C$12, 2, FALSE)</f>
        <v>Thursday</v>
      </c>
      <c r="P542" s="2">
        <v>0.97916666666666663</v>
      </c>
      <c r="Q542">
        <v>-1</v>
      </c>
      <c r="R542" t="s">
        <v>44</v>
      </c>
      <c r="S542" t="s">
        <v>45</v>
      </c>
      <c r="T542" t="s">
        <v>45</v>
      </c>
      <c r="U542">
        <v>6</v>
      </c>
      <c r="V542" t="str">
        <f>VLOOKUP(U542, Lookups!$B$51:$C$57, 2, FALSE)</f>
        <v>Unclassified</v>
      </c>
      <c r="W542">
        <v>0</v>
      </c>
      <c r="X542" t="s">
        <v>362</v>
      </c>
      <c r="Y542">
        <v>6</v>
      </c>
      <c r="Z542" t="str">
        <f>VLOOKUP(Y542, Lookups!$B$14:$C$21, 2, FALSE)</f>
        <v>Single carriageway</v>
      </c>
      <c r="AA542">
        <v>60</v>
      </c>
      <c r="AB542">
        <v>-1</v>
      </c>
      <c r="AC542">
        <v>0</v>
      </c>
      <c r="AD542">
        <v>-1</v>
      </c>
      <c r="AE542">
        <v>6</v>
      </c>
      <c r="AF542">
        <v>0</v>
      </c>
      <c r="AG542">
        <v>-1</v>
      </c>
      <c r="AH542">
        <v>-1</v>
      </c>
      <c r="AI542">
        <v>0</v>
      </c>
      <c r="AJ542">
        <v>6</v>
      </c>
      <c r="AK542" t="str">
        <f>VLOOKUP(AJ542, Lookups!$B$23:$C$28, 2, FALSE)</f>
        <v>Darkness (Unlit)</v>
      </c>
      <c r="AL542">
        <v>1</v>
      </c>
      <c r="AM542" t="str">
        <f>VLOOKUP(AL542, Lookups!$B$30:$C$39, 2, FALSE)</f>
        <v>Fine / Clear</v>
      </c>
      <c r="AN542">
        <v>1</v>
      </c>
      <c r="AO542" t="str">
        <f>VLOOKUP(AN542, Lookups!$B$41:$C$49, 2, FALSE)</f>
        <v>Dry</v>
      </c>
      <c r="AP542">
        <v>-1</v>
      </c>
      <c r="AQ542">
        <v>-1</v>
      </c>
      <c r="AR542">
        <v>0</v>
      </c>
      <c r="AS542">
        <v>2</v>
      </c>
      <c r="AT542">
        <v>1</v>
      </c>
      <c r="AU542">
        <v>2</v>
      </c>
      <c r="AV542" t="s">
        <v>96</v>
      </c>
      <c r="AW542">
        <v>3</v>
      </c>
      <c r="AX542">
        <v>1</v>
      </c>
      <c r="AY542">
        <v>0</v>
      </c>
      <c r="AZ542">
        <v>1</v>
      </c>
    </row>
    <row r="543" spans="1:52" x14ac:dyDescent="0.35">
      <c r="A543">
        <v>2025221559861</v>
      </c>
      <c r="B543">
        <v>2025</v>
      </c>
      <c r="C543">
        <v>221559861</v>
      </c>
      <c r="D543">
        <v>389678</v>
      </c>
      <c r="E543">
        <v>258034</v>
      </c>
      <c r="F543">
        <v>-2.1525099999999999</v>
      </c>
      <c r="G543">
        <v>52.220419999999997</v>
      </c>
      <c r="H543">
        <v>22</v>
      </c>
      <c r="I543">
        <v>3</v>
      </c>
      <c r="J543" t="str">
        <f>VLOOKUP(I543, Lookups!$B$1:$C$4, 2, FALSE)</f>
        <v>Slight</v>
      </c>
      <c r="K543">
        <v>1</v>
      </c>
      <c r="L543">
        <v>1</v>
      </c>
      <c r="M543" s="1">
        <v>45717</v>
      </c>
      <c r="N543">
        <v>7</v>
      </c>
      <c r="O543" t="str">
        <f>VLOOKUP(N543, Lookups!$B$6:$C$12, 2, FALSE)</f>
        <v>Saturday</v>
      </c>
      <c r="P543" s="2">
        <v>0.28402777777777777</v>
      </c>
      <c r="Q543">
        <v>-1</v>
      </c>
      <c r="R543" t="s">
        <v>54</v>
      </c>
      <c r="S543" t="s">
        <v>45</v>
      </c>
      <c r="T543" t="s">
        <v>45</v>
      </c>
      <c r="U543">
        <v>6</v>
      </c>
      <c r="V543" t="str">
        <f>VLOOKUP(U543, Lookups!$B$51:$C$57, 2, FALSE)</f>
        <v>Unclassified</v>
      </c>
      <c r="W543">
        <v>0</v>
      </c>
      <c r="X543" t="s">
        <v>362</v>
      </c>
      <c r="Y543">
        <v>6</v>
      </c>
      <c r="Z543" t="str">
        <f>VLOOKUP(Y543, Lookups!$B$14:$C$21, 2, FALSE)</f>
        <v>Single carriageway</v>
      </c>
      <c r="AA543">
        <v>60</v>
      </c>
      <c r="AB543">
        <v>-1</v>
      </c>
      <c r="AC543">
        <v>0</v>
      </c>
      <c r="AD543">
        <v>-1</v>
      </c>
      <c r="AE543">
        <v>0</v>
      </c>
      <c r="AF543">
        <v>-1</v>
      </c>
      <c r="AG543">
        <v>-1</v>
      </c>
      <c r="AH543">
        <v>-1</v>
      </c>
      <c r="AI543">
        <v>0</v>
      </c>
      <c r="AJ543">
        <v>1</v>
      </c>
      <c r="AK543" t="str">
        <f>VLOOKUP(AJ543, Lookups!$B$23:$C$28, 2, FALSE)</f>
        <v>Daylight</v>
      </c>
      <c r="AL543">
        <v>1</v>
      </c>
      <c r="AM543" t="str">
        <f>VLOOKUP(AL543, Lookups!$B$30:$C$39, 2, FALSE)</f>
        <v>Fine / Clear</v>
      </c>
      <c r="AN543">
        <v>4</v>
      </c>
      <c r="AO543" t="str">
        <f>VLOOKUP(AN543, Lookups!$B$41:$C$49, 2, FALSE)</f>
        <v>Frost or ice</v>
      </c>
      <c r="AP543">
        <v>-1</v>
      </c>
      <c r="AQ543">
        <v>-1</v>
      </c>
      <c r="AR543">
        <v>0</v>
      </c>
      <c r="AS543">
        <v>2</v>
      </c>
      <c r="AT543">
        <v>1</v>
      </c>
      <c r="AU543">
        <v>2</v>
      </c>
      <c r="AV543" t="s">
        <v>254</v>
      </c>
      <c r="AW543">
        <v>3</v>
      </c>
      <c r="AX543">
        <v>1</v>
      </c>
      <c r="AY543">
        <v>0</v>
      </c>
      <c r="AZ543">
        <v>1</v>
      </c>
    </row>
    <row r="544" spans="1:52" x14ac:dyDescent="0.35">
      <c r="A544">
        <v>2025221612656</v>
      </c>
      <c r="B544">
        <v>2025</v>
      </c>
      <c r="C544">
        <v>221612656</v>
      </c>
      <c r="D544">
        <v>404332</v>
      </c>
      <c r="E544">
        <v>265964</v>
      </c>
      <c r="F544">
        <v>-1.93791</v>
      </c>
      <c r="G544">
        <v>52.291789999999999</v>
      </c>
      <c r="H544">
        <v>22</v>
      </c>
      <c r="I544">
        <v>2</v>
      </c>
      <c r="J544" t="str">
        <f>VLOOKUP(I544, Lookups!$B$1:$C$4, 2, FALSE)</f>
        <v>Serious</v>
      </c>
      <c r="K544">
        <v>1</v>
      </c>
      <c r="L544">
        <v>1</v>
      </c>
      <c r="M544" s="1">
        <v>45844</v>
      </c>
      <c r="N544">
        <v>1</v>
      </c>
      <c r="O544" t="str">
        <f>VLOOKUP(N544, Lookups!$B$6:$C$12, 2, FALSE)</f>
        <v>Sunday</v>
      </c>
      <c r="P544" s="2">
        <v>0.69444444444444442</v>
      </c>
      <c r="Q544">
        <v>-1</v>
      </c>
      <c r="R544" t="s">
        <v>69</v>
      </c>
      <c r="S544" t="s">
        <v>45</v>
      </c>
      <c r="T544" t="s">
        <v>45</v>
      </c>
      <c r="U544">
        <v>3</v>
      </c>
      <c r="V544" t="str">
        <f>VLOOKUP(U544, Lookups!$B$51:$C$57, 2, FALSE)</f>
        <v>A</v>
      </c>
      <c r="W544">
        <v>441</v>
      </c>
      <c r="X544" t="str">
        <f t="shared" ref="X544:X548" si="75">V544&amp;W544</f>
        <v>A441</v>
      </c>
      <c r="Y544">
        <v>7</v>
      </c>
      <c r="Z544" t="str">
        <f>VLOOKUP(Y544, Lookups!$B$14:$C$21, 2, FALSE)</f>
        <v>Slip road</v>
      </c>
      <c r="AA544">
        <v>70</v>
      </c>
      <c r="AB544">
        <v>-1</v>
      </c>
      <c r="AC544">
        <v>0</v>
      </c>
      <c r="AD544">
        <v>-1</v>
      </c>
      <c r="AE544">
        <v>3</v>
      </c>
      <c r="AF544">
        <v>441</v>
      </c>
      <c r="AG544">
        <v>-1</v>
      </c>
      <c r="AH544">
        <v>-1</v>
      </c>
      <c r="AI544">
        <v>0</v>
      </c>
      <c r="AJ544">
        <v>1</v>
      </c>
      <c r="AK544" t="str">
        <f>VLOOKUP(AJ544, Lookups!$B$23:$C$28, 2, FALSE)</f>
        <v>Daylight</v>
      </c>
      <c r="AL544">
        <v>1</v>
      </c>
      <c r="AM544" t="str">
        <f>VLOOKUP(AL544, Lookups!$B$30:$C$39, 2, FALSE)</f>
        <v>Fine / Clear</v>
      </c>
      <c r="AN544">
        <v>1</v>
      </c>
      <c r="AO544" t="str">
        <f>VLOOKUP(AN544, Lookups!$B$41:$C$49, 2, FALSE)</f>
        <v>Dry</v>
      </c>
      <c r="AP544">
        <v>-1</v>
      </c>
      <c r="AQ544">
        <v>-1</v>
      </c>
      <c r="AR544">
        <v>0</v>
      </c>
      <c r="AS544">
        <v>2</v>
      </c>
      <c r="AT544">
        <v>1</v>
      </c>
      <c r="AU544">
        <v>2</v>
      </c>
      <c r="AV544" t="s">
        <v>226</v>
      </c>
      <c r="AW544">
        <v>7</v>
      </c>
      <c r="AX544">
        <v>1</v>
      </c>
      <c r="AY544">
        <v>1</v>
      </c>
      <c r="AZ544">
        <v>0</v>
      </c>
    </row>
    <row r="545" spans="1:52" x14ac:dyDescent="0.35">
      <c r="A545">
        <v>2025221623943</v>
      </c>
      <c r="B545">
        <v>2025</v>
      </c>
      <c r="C545">
        <v>221623943</v>
      </c>
      <c r="D545">
        <v>389307</v>
      </c>
      <c r="E545">
        <v>279219</v>
      </c>
      <c r="F545">
        <v>-2.15862</v>
      </c>
      <c r="G545">
        <v>52.410870000000003</v>
      </c>
      <c r="H545">
        <v>22</v>
      </c>
      <c r="I545">
        <v>2</v>
      </c>
      <c r="J545" t="str">
        <f>VLOOKUP(I545, Lookups!$B$1:$C$4, 2, FALSE)</f>
        <v>Serious</v>
      </c>
      <c r="K545">
        <v>2</v>
      </c>
      <c r="L545">
        <v>3</v>
      </c>
      <c r="M545" s="1">
        <v>45871</v>
      </c>
      <c r="N545">
        <v>7</v>
      </c>
      <c r="O545" t="str">
        <f>VLOOKUP(N545, Lookups!$B$6:$C$12, 2, FALSE)</f>
        <v>Saturday</v>
      </c>
      <c r="P545" s="2">
        <v>0.81527777777777777</v>
      </c>
      <c r="Q545">
        <v>-1</v>
      </c>
      <c r="R545" t="s">
        <v>47</v>
      </c>
      <c r="S545" t="s">
        <v>45</v>
      </c>
      <c r="T545" t="s">
        <v>45</v>
      </c>
      <c r="U545">
        <v>3</v>
      </c>
      <c r="V545" t="str">
        <f>VLOOKUP(U545, Lookups!$B$51:$C$57, 2, FALSE)</f>
        <v>A</v>
      </c>
      <c r="W545">
        <v>456</v>
      </c>
      <c r="X545" t="str">
        <f t="shared" si="75"/>
        <v>A456</v>
      </c>
      <c r="Y545">
        <v>6</v>
      </c>
      <c r="Z545" t="str">
        <f>VLOOKUP(Y545, Lookups!$B$14:$C$21, 2, FALSE)</f>
        <v>Single carriageway</v>
      </c>
      <c r="AA545">
        <v>40</v>
      </c>
      <c r="AB545">
        <v>-1</v>
      </c>
      <c r="AC545">
        <v>16</v>
      </c>
      <c r="AD545">
        <v>4</v>
      </c>
      <c r="AE545">
        <v>6</v>
      </c>
      <c r="AF545">
        <v>0</v>
      </c>
      <c r="AG545">
        <v>-1</v>
      </c>
      <c r="AH545">
        <v>-1</v>
      </c>
      <c r="AI545">
        <v>0</v>
      </c>
      <c r="AJ545">
        <v>1</v>
      </c>
      <c r="AK545" t="str">
        <f>VLOOKUP(AJ545, Lookups!$B$23:$C$28, 2, FALSE)</f>
        <v>Daylight</v>
      </c>
      <c r="AL545">
        <v>1</v>
      </c>
      <c r="AM545" t="str">
        <f>VLOOKUP(AL545, Lookups!$B$30:$C$39, 2, FALSE)</f>
        <v>Fine / Clear</v>
      </c>
      <c r="AN545">
        <v>1</v>
      </c>
      <c r="AO545" t="str">
        <f>VLOOKUP(AN545, Lookups!$B$41:$C$49, 2, FALSE)</f>
        <v>Dry</v>
      </c>
      <c r="AP545">
        <v>-1</v>
      </c>
      <c r="AQ545">
        <v>-1</v>
      </c>
      <c r="AR545">
        <v>0</v>
      </c>
      <c r="AS545">
        <v>1</v>
      </c>
      <c r="AT545">
        <v>1</v>
      </c>
      <c r="AU545">
        <v>2</v>
      </c>
      <c r="AV545" t="s">
        <v>185</v>
      </c>
      <c r="AW545">
        <v>6</v>
      </c>
      <c r="AX545">
        <v>1</v>
      </c>
      <c r="AY545">
        <v>1</v>
      </c>
      <c r="AZ545">
        <v>0</v>
      </c>
    </row>
    <row r="546" spans="1:52" x14ac:dyDescent="0.35">
      <c r="A546">
        <v>2025221673005</v>
      </c>
      <c r="B546">
        <v>2025</v>
      </c>
      <c r="C546">
        <v>221673005</v>
      </c>
      <c r="D546">
        <v>386651</v>
      </c>
      <c r="E546">
        <v>277689</v>
      </c>
      <c r="F546">
        <v>-2.1976100000000001</v>
      </c>
      <c r="G546">
        <v>52.39705</v>
      </c>
      <c r="H546">
        <v>22</v>
      </c>
      <c r="I546">
        <v>3</v>
      </c>
      <c r="J546" t="str">
        <f>VLOOKUP(I546, Lookups!$B$1:$C$4, 2, FALSE)</f>
        <v>Slight</v>
      </c>
      <c r="K546">
        <v>2</v>
      </c>
      <c r="L546">
        <v>1</v>
      </c>
      <c r="M546" s="1">
        <v>45982</v>
      </c>
      <c r="N546">
        <v>6</v>
      </c>
      <c r="O546" t="str">
        <f>VLOOKUP(N546, Lookups!$B$6:$C$12, 2, FALSE)</f>
        <v>Friday</v>
      </c>
      <c r="P546" s="2">
        <v>0.61527777777777781</v>
      </c>
      <c r="Q546">
        <v>-1</v>
      </c>
      <c r="R546" t="s">
        <v>44</v>
      </c>
      <c r="S546" t="s">
        <v>45</v>
      </c>
      <c r="T546" t="s">
        <v>45</v>
      </c>
      <c r="U546">
        <v>3</v>
      </c>
      <c r="V546" t="str">
        <f>VLOOKUP(U546, Lookups!$B$51:$C$57, 2, FALSE)</f>
        <v>A</v>
      </c>
      <c r="W546">
        <v>456</v>
      </c>
      <c r="X546" t="str">
        <f t="shared" si="75"/>
        <v>A456</v>
      </c>
      <c r="Y546">
        <v>3</v>
      </c>
      <c r="Z546" t="str">
        <f>VLOOKUP(Y546, Lookups!$B$14:$C$21, 2, FALSE)</f>
        <v>Dual carriageway</v>
      </c>
      <c r="AA546">
        <v>60</v>
      </c>
      <c r="AB546">
        <v>-1</v>
      </c>
      <c r="AC546">
        <v>13</v>
      </c>
      <c r="AD546">
        <v>4</v>
      </c>
      <c r="AE546">
        <v>6</v>
      </c>
      <c r="AF546">
        <v>0</v>
      </c>
      <c r="AG546">
        <v>-1</v>
      </c>
      <c r="AH546">
        <v>-1</v>
      </c>
      <c r="AI546">
        <v>0</v>
      </c>
      <c r="AJ546">
        <v>1</v>
      </c>
      <c r="AK546" t="str">
        <f>VLOOKUP(AJ546, Lookups!$B$23:$C$28, 2, FALSE)</f>
        <v>Daylight</v>
      </c>
      <c r="AL546">
        <v>1</v>
      </c>
      <c r="AM546" t="str">
        <f>VLOOKUP(AL546, Lookups!$B$30:$C$39, 2, FALSE)</f>
        <v>Fine / Clear</v>
      </c>
      <c r="AN546">
        <v>2</v>
      </c>
      <c r="AO546" t="str">
        <f>VLOOKUP(AN546, Lookups!$B$41:$C$49, 2, FALSE)</f>
        <v>Wet / damp</v>
      </c>
      <c r="AP546">
        <v>-1</v>
      </c>
      <c r="AQ546">
        <v>-1</v>
      </c>
      <c r="AR546">
        <v>0</v>
      </c>
      <c r="AS546">
        <v>2</v>
      </c>
      <c r="AT546">
        <v>1</v>
      </c>
      <c r="AU546">
        <v>2</v>
      </c>
      <c r="AV546" t="s">
        <v>80</v>
      </c>
      <c r="AW546">
        <v>3</v>
      </c>
      <c r="AX546">
        <v>1</v>
      </c>
      <c r="AY546">
        <v>0</v>
      </c>
      <c r="AZ546">
        <v>1</v>
      </c>
    </row>
    <row r="547" spans="1:52" x14ac:dyDescent="0.35">
      <c r="A547">
        <v>2025221554929</v>
      </c>
      <c r="B547">
        <v>2025</v>
      </c>
      <c r="C547">
        <v>221554929</v>
      </c>
      <c r="D547">
        <v>385978</v>
      </c>
      <c r="E547">
        <v>256329</v>
      </c>
      <c r="F547">
        <v>-2.2065999999999999</v>
      </c>
      <c r="G547">
        <v>52.205010000000001</v>
      </c>
      <c r="H547">
        <v>22</v>
      </c>
      <c r="I547">
        <v>3</v>
      </c>
      <c r="J547" t="str">
        <f>VLOOKUP(I547, Lookups!$B$1:$C$4, 2, FALSE)</f>
        <v>Slight</v>
      </c>
      <c r="K547">
        <v>2</v>
      </c>
      <c r="L547">
        <v>1</v>
      </c>
      <c r="M547" s="1">
        <v>45704</v>
      </c>
      <c r="N547">
        <v>1</v>
      </c>
      <c r="O547" t="str">
        <f>VLOOKUP(N547, Lookups!$B$6:$C$12, 2, FALSE)</f>
        <v>Sunday</v>
      </c>
      <c r="P547" s="2">
        <v>0.7631944444444444</v>
      </c>
      <c r="Q547">
        <v>-1</v>
      </c>
      <c r="R547" t="s">
        <v>60</v>
      </c>
      <c r="S547" t="s">
        <v>45</v>
      </c>
      <c r="T547" t="s">
        <v>45</v>
      </c>
      <c r="U547">
        <v>4</v>
      </c>
      <c r="V547" t="str">
        <f>VLOOKUP(U547, Lookups!$B$51:$C$57, 2, FALSE)</f>
        <v>B</v>
      </c>
      <c r="W547">
        <v>4550</v>
      </c>
      <c r="X547" t="str">
        <f t="shared" si="75"/>
        <v>B4550</v>
      </c>
      <c r="Y547">
        <v>6</v>
      </c>
      <c r="Z547" t="str">
        <f>VLOOKUP(Y547, Lookups!$B$14:$C$21, 2, FALSE)</f>
        <v>Single carriageway</v>
      </c>
      <c r="AA547">
        <v>30</v>
      </c>
      <c r="AB547">
        <v>-1</v>
      </c>
      <c r="AC547">
        <v>13</v>
      </c>
      <c r="AD547">
        <v>4</v>
      </c>
      <c r="AE547">
        <v>6</v>
      </c>
      <c r="AF547">
        <v>0</v>
      </c>
      <c r="AG547">
        <v>-1</v>
      </c>
      <c r="AH547">
        <v>-1</v>
      </c>
      <c r="AI547">
        <v>0</v>
      </c>
      <c r="AJ547">
        <v>4</v>
      </c>
      <c r="AK547" t="str">
        <f>VLOOKUP(AJ547, Lookups!$B$23:$C$28, 2, FALSE)</f>
        <v>Darkness (Lit)</v>
      </c>
      <c r="AL547">
        <v>1</v>
      </c>
      <c r="AM547" t="str">
        <f>VLOOKUP(AL547, Lookups!$B$30:$C$39, 2, FALSE)</f>
        <v>Fine / Clear</v>
      </c>
      <c r="AN547">
        <v>1</v>
      </c>
      <c r="AO547" t="str">
        <f>VLOOKUP(AN547, Lookups!$B$41:$C$49, 2, FALSE)</f>
        <v>Dry</v>
      </c>
      <c r="AP547">
        <v>-1</v>
      </c>
      <c r="AQ547">
        <v>-1</v>
      </c>
      <c r="AR547">
        <v>0</v>
      </c>
      <c r="AS547">
        <v>1</v>
      </c>
      <c r="AT547">
        <v>1</v>
      </c>
      <c r="AU547">
        <v>2</v>
      </c>
      <c r="AV547" t="s">
        <v>285</v>
      </c>
      <c r="AW547">
        <v>3</v>
      </c>
      <c r="AX547">
        <v>1</v>
      </c>
      <c r="AY547">
        <v>0</v>
      </c>
      <c r="AZ547">
        <v>1</v>
      </c>
    </row>
    <row r="548" spans="1:52" x14ac:dyDescent="0.35">
      <c r="A548">
        <v>2025221620581</v>
      </c>
      <c r="B548">
        <v>2025</v>
      </c>
      <c r="C548">
        <v>221620581</v>
      </c>
      <c r="D548">
        <v>378982</v>
      </c>
      <c r="E548">
        <v>274053</v>
      </c>
      <c r="F548">
        <v>-2.3100900000000002</v>
      </c>
      <c r="G548">
        <v>52.36412</v>
      </c>
      <c r="H548">
        <v>22</v>
      </c>
      <c r="I548">
        <v>3</v>
      </c>
      <c r="J548" t="str">
        <f>VLOOKUP(I548, Lookups!$B$1:$C$4, 2, FALSE)</f>
        <v>Slight</v>
      </c>
      <c r="K548">
        <v>3</v>
      </c>
      <c r="L548">
        <v>1</v>
      </c>
      <c r="M548" s="1">
        <v>45748</v>
      </c>
      <c r="N548">
        <v>3</v>
      </c>
      <c r="O548" t="str">
        <f>VLOOKUP(N548, Lookups!$B$6:$C$12, 2, FALSE)</f>
        <v>Tuesday</v>
      </c>
      <c r="P548" s="2">
        <v>0.54166666666666663</v>
      </c>
      <c r="Q548">
        <v>-1</v>
      </c>
      <c r="R548" t="s">
        <v>44</v>
      </c>
      <c r="S548" t="s">
        <v>45</v>
      </c>
      <c r="T548" t="s">
        <v>45</v>
      </c>
      <c r="U548">
        <v>4</v>
      </c>
      <c r="V548" t="str">
        <f>VLOOKUP(U548, Lookups!$B$51:$C$57, 2, FALSE)</f>
        <v>B</v>
      </c>
      <c r="W548">
        <v>4194</v>
      </c>
      <c r="X548" t="str">
        <f t="shared" si="75"/>
        <v>B4194</v>
      </c>
      <c r="Y548">
        <v>6</v>
      </c>
      <c r="Z548" t="str">
        <f>VLOOKUP(Y548, Lookups!$B$14:$C$21, 2, FALSE)</f>
        <v>Single carriageway</v>
      </c>
      <c r="AA548">
        <v>60</v>
      </c>
      <c r="AB548">
        <v>-1</v>
      </c>
      <c r="AC548">
        <v>0</v>
      </c>
      <c r="AD548">
        <v>-1</v>
      </c>
      <c r="AE548">
        <v>6</v>
      </c>
      <c r="AF548">
        <v>0</v>
      </c>
      <c r="AG548">
        <v>-1</v>
      </c>
      <c r="AH548">
        <v>-1</v>
      </c>
      <c r="AI548">
        <v>0</v>
      </c>
      <c r="AJ548">
        <v>1</v>
      </c>
      <c r="AK548" t="str">
        <f>VLOOKUP(AJ548, Lookups!$B$23:$C$28, 2, FALSE)</f>
        <v>Daylight</v>
      </c>
      <c r="AL548">
        <v>1</v>
      </c>
      <c r="AM548" t="str">
        <f>VLOOKUP(AL548, Lookups!$B$30:$C$39, 2, FALSE)</f>
        <v>Fine / Clear</v>
      </c>
      <c r="AN548">
        <v>1</v>
      </c>
      <c r="AO548" t="str">
        <f>VLOOKUP(AN548, Lookups!$B$41:$C$49, 2, FALSE)</f>
        <v>Dry</v>
      </c>
      <c r="AP548">
        <v>-1</v>
      </c>
      <c r="AQ548">
        <v>-1</v>
      </c>
      <c r="AR548">
        <v>0</v>
      </c>
      <c r="AS548">
        <v>2</v>
      </c>
      <c r="AT548">
        <v>1</v>
      </c>
      <c r="AU548">
        <v>2</v>
      </c>
      <c r="AV548" t="s">
        <v>89</v>
      </c>
      <c r="AW548">
        <v>3</v>
      </c>
      <c r="AX548">
        <v>1</v>
      </c>
      <c r="AY548">
        <v>0</v>
      </c>
      <c r="AZ548">
        <v>1</v>
      </c>
    </row>
    <row r="549" spans="1:52" x14ac:dyDescent="0.35">
      <c r="A549">
        <v>2025221593629</v>
      </c>
      <c r="B549">
        <v>2025</v>
      </c>
      <c r="C549">
        <v>221593629</v>
      </c>
      <c r="D549">
        <v>396973</v>
      </c>
      <c r="E549">
        <v>247972</v>
      </c>
      <c r="F549">
        <v>-2.0456400000000001</v>
      </c>
      <c r="G549">
        <v>52.130040000000001</v>
      </c>
      <c r="H549">
        <v>22</v>
      </c>
      <c r="I549">
        <v>3</v>
      </c>
      <c r="J549" t="str">
        <f>VLOOKUP(I549, Lookups!$B$1:$C$4, 2, FALSE)</f>
        <v>Slight</v>
      </c>
      <c r="K549">
        <v>2</v>
      </c>
      <c r="L549">
        <v>1</v>
      </c>
      <c r="M549" s="1">
        <v>45798</v>
      </c>
      <c r="N549">
        <v>4</v>
      </c>
      <c r="O549" t="str">
        <f>VLOOKUP(N549, Lookups!$B$6:$C$12, 2, FALSE)</f>
        <v>Wednesday</v>
      </c>
      <c r="P549" s="2">
        <v>0.82638888888888884</v>
      </c>
      <c r="Q549">
        <v>-1</v>
      </c>
      <c r="R549" t="s">
        <v>54</v>
      </c>
      <c r="S549" t="s">
        <v>45</v>
      </c>
      <c r="T549" t="s">
        <v>45</v>
      </c>
      <c r="U549">
        <v>6</v>
      </c>
      <c r="V549" t="str">
        <f>VLOOKUP(U549, Lookups!$B$51:$C$57, 2, FALSE)</f>
        <v>Unclassified</v>
      </c>
      <c r="W549">
        <v>0</v>
      </c>
      <c r="X549" t="s">
        <v>362</v>
      </c>
      <c r="Y549">
        <v>6</v>
      </c>
      <c r="Z549" t="str">
        <f>VLOOKUP(Y549, Lookups!$B$14:$C$21, 2, FALSE)</f>
        <v>Single carriageway</v>
      </c>
      <c r="AA549">
        <v>60</v>
      </c>
      <c r="AB549">
        <v>-1</v>
      </c>
      <c r="AC549">
        <v>0</v>
      </c>
      <c r="AD549">
        <v>-1</v>
      </c>
      <c r="AE549">
        <v>6</v>
      </c>
      <c r="AF549">
        <v>0</v>
      </c>
      <c r="AG549">
        <v>-1</v>
      </c>
      <c r="AH549">
        <v>-1</v>
      </c>
      <c r="AI549">
        <v>0</v>
      </c>
      <c r="AJ549">
        <v>1</v>
      </c>
      <c r="AK549" t="str">
        <f>VLOOKUP(AJ549, Lookups!$B$23:$C$28, 2, FALSE)</f>
        <v>Daylight</v>
      </c>
      <c r="AL549">
        <v>1</v>
      </c>
      <c r="AM549" t="str">
        <f>VLOOKUP(AL549, Lookups!$B$30:$C$39, 2, FALSE)</f>
        <v>Fine / Clear</v>
      </c>
      <c r="AN549">
        <v>1</v>
      </c>
      <c r="AO549" t="str">
        <f>VLOOKUP(AN549, Lookups!$B$41:$C$49, 2, FALSE)</f>
        <v>Dry</v>
      </c>
      <c r="AP549">
        <v>-1</v>
      </c>
      <c r="AQ549">
        <v>-1</v>
      </c>
      <c r="AR549">
        <v>0</v>
      </c>
      <c r="AS549">
        <v>2</v>
      </c>
      <c r="AT549">
        <v>1</v>
      </c>
      <c r="AU549">
        <v>2</v>
      </c>
      <c r="AV549" t="s">
        <v>286</v>
      </c>
      <c r="AW549">
        <v>3</v>
      </c>
      <c r="AX549">
        <v>1</v>
      </c>
      <c r="AY549">
        <v>0</v>
      </c>
      <c r="AZ549">
        <v>1</v>
      </c>
    </row>
    <row r="550" spans="1:52" x14ac:dyDescent="0.35">
      <c r="A550">
        <v>2025221615875</v>
      </c>
      <c r="B550">
        <v>2025</v>
      </c>
      <c r="C550">
        <v>221615875</v>
      </c>
      <c r="D550">
        <v>403912</v>
      </c>
      <c r="E550">
        <v>265911</v>
      </c>
      <c r="F550">
        <v>-1.94407</v>
      </c>
      <c r="G550">
        <v>52.291319999999999</v>
      </c>
      <c r="H550">
        <v>22</v>
      </c>
      <c r="I550">
        <v>3</v>
      </c>
      <c r="J550" t="str">
        <f>VLOOKUP(I550, Lookups!$B$1:$C$4, 2, FALSE)</f>
        <v>Slight</v>
      </c>
      <c r="K550">
        <v>2</v>
      </c>
      <c r="L550">
        <v>2</v>
      </c>
      <c r="M550" s="1">
        <v>45847</v>
      </c>
      <c r="N550">
        <v>4</v>
      </c>
      <c r="O550" t="str">
        <f>VLOOKUP(N550, Lookups!$B$6:$C$12, 2, FALSE)</f>
        <v>Wednesday</v>
      </c>
      <c r="P550" s="2">
        <v>0.77638888888888891</v>
      </c>
      <c r="Q550">
        <v>-1</v>
      </c>
      <c r="R550" t="s">
        <v>69</v>
      </c>
      <c r="S550" t="s">
        <v>45</v>
      </c>
      <c r="T550" t="s">
        <v>45</v>
      </c>
      <c r="U550">
        <v>6</v>
      </c>
      <c r="V550" t="str">
        <f>VLOOKUP(U550, Lookups!$B$51:$C$57, 2, FALSE)</f>
        <v>Unclassified</v>
      </c>
      <c r="W550">
        <v>0</v>
      </c>
      <c r="X550" t="s">
        <v>362</v>
      </c>
      <c r="Y550">
        <v>6</v>
      </c>
      <c r="Z550" t="str">
        <f>VLOOKUP(Y550, Lookups!$B$14:$C$21, 2, FALSE)</f>
        <v>Single carriageway</v>
      </c>
      <c r="AA550">
        <v>30</v>
      </c>
      <c r="AB550">
        <v>-1</v>
      </c>
      <c r="AC550">
        <v>13</v>
      </c>
      <c r="AD550">
        <v>4</v>
      </c>
      <c r="AE550">
        <v>6</v>
      </c>
      <c r="AF550">
        <v>0</v>
      </c>
      <c r="AG550">
        <v>-1</v>
      </c>
      <c r="AH550">
        <v>-1</v>
      </c>
      <c r="AI550">
        <v>0</v>
      </c>
      <c r="AJ550">
        <v>1</v>
      </c>
      <c r="AK550" t="str">
        <f>VLOOKUP(AJ550, Lookups!$B$23:$C$28, 2, FALSE)</f>
        <v>Daylight</v>
      </c>
      <c r="AL550">
        <v>1</v>
      </c>
      <c r="AM550" t="str">
        <f>VLOOKUP(AL550, Lookups!$B$30:$C$39, 2, FALSE)</f>
        <v>Fine / Clear</v>
      </c>
      <c r="AN550">
        <v>1</v>
      </c>
      <c r="AO550" t="str">
        <f>VLOOKUP(AN550, Lookups!$B$41:$C$49, 2, FALSE)</f>
        <v>Dry</v>
      </c>
      <c r="AP550">
        <v>-1</v>
      </c>
      <c r="AQ550">
        <v>-1</v>
      </c>
      <c r="AR550">
        <v>0</v>
      </c>
      <c r="AS550">
        <v>2</v>
      </c>
      <c r="AT550">
        <v>1</v>
      </c>
      <c r="AU550">
        <v>2</v>
      </c>
      <c r="AV550" t="s">
        <v>151</v>
      </c>
      <c r="AW550">
        <v>3</v>
      </c>
      <c r="AX550">
        <v>1</v>
      </c>
      <c r="AY550">
        <v>0</v>
      </c>
      <c r="AZ550">
        <v>1</v>
      </c>
    </row>
    <row r="551" spans="1:52" x14ac:dyDescent="0.35">
      <c r="A551">
        <v>2025221640698</v>
      </c>
      <c r="B551">
        <v>2025</v>
      </c>
      <c r="C551">
        <v>221640698</v>
      </c>
      <c r="D551">
        <v>404190</v>
      </c>
      <c r="E551">
        <v>267320</v>
      </c>
      <c r="F551">
        <v>-1.93997</v>
      </c>
      <c r="G551">
        <v>52.303980000000003</v>
      </c>
      <c r="H551">
        <v>22</v>
      </c>
      <c r="I551">
        <v>2</v>
      </c>
      <c r="J551" t="str">
        <f>VLOOKUP(I551, Lookups!$B$1:$C$4, 2, FALSE)</f>
        <v>Serious</v>
      </c>
      <c r="K551">
        <v>1</v>
      </c>
      <c r="L551">
        <v>1</v>
      </c>
      <c r="M551" s="1">
        <v>45911</v>
      </c>
      <c r="N551">
        <v>5</v>
      </c>
      <c r="O551" t="str">
        <f>VLOOKUP(N551, Lookups!$B$6:$C$12, 2, FALSE)</f>
        <v>Thursday</v>
      </c>
      <c r="P551" s="2">
        <v>0.64930555555555558</v>
      </c>
      <c r="Q551">
        <v>-1</v>
      </c>
      <c r="R551" t="s">
        <v>69</v>
      </c>
      <c r="S551" t="s">
        <v>45</v>
      </c>
      <c r="T551" t="s">
        <v>45</v>
      </c>
      <c r="U551">
        <v>6</v>
      </c>
      <c r="V551" t="str">
        <f>VLOOKUP(U551, Lookups!$B$51:$C$57, 2, FALSE)</f>
        <v>Unclassified</v>
      </c>
      <c r="W551">
        <v>0</v>
      </c>
      <c r="X551" t="s">
        <v>362</v>
      </c>
      <c r="Y551">
        <v>6</v>
      </c>
      <c r="Z551" t="str">
        <f>VLOOKUP(Y551, Lookups!$B$14:$C$21, 2, FALSE)</f>
        <v>Single carriageway</v>
      </c>
      <c r="AA551">
        <v>30</v>
      </c>
      <c r="AB551">
        <v>-1</v>
      </c>
      <c r="AC551">
        <v>13</v>
      </c>
      <c r="AD551">
        <v>4</v>
      </c>
      <c r="AE551">
        <v>6</v>
      </c>
      <c r="AF551">
        <v>0</v>
      </c>
      <c r="AG551">
        <v>-1</v>
      </c>
      <c r="AH551">
        <v>-1</v>
      </c>
      <c r="AI551">
        <v>0</v>
      </c>
      <c r="AJ551">
        <v>1</v>
      </c>
      <c r="AK551" t="str">
        <f>VLOOKUP(AJ551, Lookups!$B$23:$C$28, 2, FALSE)</f>
        <v>Daylight</v>
      </c>
      <c r="AL551">
        <v>1</v>
      </c>
      <c r="AM551" t="str">
        <f>VLOOKUP(AL551, Lookups!$B$30:$C$39, 2, FALSE)</f>
        <v>Fine / Clear</v>
      </c>
      <c r="AN551">
        <v>2</v>
      </c>
      <c r="AO551" t="str">
        <f>VLOOKUP(AN551, Lookups!$B$41:$C$49, 2, FALSE)</f>
        <v>Wet / damp</v>
      </c>
      <c r="AP551">
        <v>-1</v>
      </c>
      <c r="AQ551">
        <v>-1</v>
      </c>
      <c r="AR551">
        <v>0</v>
      </c>
      <c r="AS551">
        <v>1</v>
      </c>
      <c r="AT551">
        <v>1</v>
      </c>
      <c r="AU551">
        <v>2</v>
      </c>
      <c r="AV551" t="s">
        <v>222</v>
      </c>
      <c r="AW551">
        <v>7</v>
      </c>
      <c r="AX551">
        <v>1</v>
      </c>
      <c r="AY551">
        <v>1</v>
      </c>
      <c r="AZ551">
        <v>0</v>
      </c>
    </row>
    <row r="552" spans="1:52" x14ac:dyDescent="0.35">
      <c r="A552">
        <v>2025221539722</v>
      </c>
      <c r="B552">
        <v>2025</v>
      </c>
      <c r="C552">
        <v>221539722</v>
      </c>
      <c r="D552">
        <v>398477</v>
      </c>
      <c r="E552">
        <v>271581</v>
      </c>
      <c r="F552">
        <v>-2.0237799999999999</v>
      </c>
      <c r="G552">
        <v>52.342300000000002</v>
      </c>
      <c r="H552">
        <v>22</v>
      </c>
      <c r="I552">
        <v>3</v>
      </c>
      <c r="J552" t="str">
        <f>VLOOKUP(I552, Lookups!$B$1:$C$4, 2, FALSE)</f>
        <v>Slight</v>
      </c>
      <c r="K552">
        <v>1</v>
      </c>
      <c r="L552">
        <v>1</v>
      </c>
      <c r="M552" s="1">
        <v>45666</v>
      </c>
      <c r="N552">
        <v>5</v>
      </c>
      <c r="O552" t="str">
        <f>VLOOKUP(N552, Lookups!$B$6:$C$12, 2, FALSE)</f>
        <v>Thursday</v>
      </c>
      <c r="P552" s="2">
        <v>0.86875000000000002</v>
      </c>
      <c r="Q552">
        <v>-1</v>
      </c>
      <c r="R552" t="s">
        <v>47</v>
      </c>
      <c r="S552" t="s">
        <v>45</v>
      </c>
      <c r="T552" t="s">
        <v>45</v>
      </c>
      <c r="U552">
        <v>4</v>
      </c>
      <c r="V552" t="str">
        <f>VLOOKUP(U552, Lookups!$B$51:$C$57, 2, FALSE)</f>
        <v>B</v>
      </c>
      <c r="W552">
        <v>4096</v>
      </c>
      <c r="X552" t="str">
        <f>V552&amp;W552</f>
        <v>B4096</v>
      </c>
      <c r="Y552">
        <v>6</v>
      </c>
      <c r="Z552" t="str">
        <f>VLOOKUP(Y552, Lookups!$B$14:$C$21, 2, FALSE)</f>
        <v>Single carriageway</v>
      </c>
      <c r="AA552">
        <v>30</v>
      </c>
      <c r="AB552">
        <v>-1</v>
      </c>
      <c r="AC552">
        <v>13</v>
      </c>
      <c r="AD552">
        <v>4</v>
      </c>
      <c r="AE552">
        <v>6</v>
      </c>
      <c r="AF552">
        <v>0</v>
      </c>
      <c r="AG552">
        <v>-1</v>
      </c>
      <c r="AH552">
        <v>-1</v>
      </c>
      <c r="AI552">
        <v>0</v>
      </c>
      <c r="AJ552">
        <v>4</v>
      </c>
      <c r="AK552" t="str">
        <f>VLOOKUP(AJ552, Lookups!$B$23:$C$28, 2, FALSE)</f>
        <v>Darkness (Lit)</v>
      </c>
      <c r="AL552">
        <v>1</v>
      </c>
      <c r="AM552" t="str">
        <f>VLOOKUP(AL552, Lookups!$B$30:$C$39, 2, FALSE)</f>
        <v>Fine / Clear</v>
      </c>
      <c r="AN552">
        <v>4</v>
      </c>
      <c r="AO552" t="str">
        <f>VLOOKUP(AN552, Lookups!$B$41:$C$49, 2, FALSE)</f>
        <v>Frost or ice</v>
      </c>
      <c r="AP552">
        <v>-1</v>
      </c>
      <c r="AQ552">
        <v>-1</v>
      </c>
      <c r="AR552">
        <v>0</v>
      </c>
      <c r="AS552">
        <v>2</v>
      </c>
      <c r="AT552">
        <v>1</v>
      </c>
      <c r="AU552">
        <v>2</v>
      </c>
      <c r="AV552" t="s">
        <v>237</v>
      </c>
      <c r="AW552">
        <v>3</v>
      </c>
      <c r="AX552">
        <v>1</v>
      </c>
      <c r="AY552">
        <v>0</v>
      </c>
      <c r="AZ552">
        <v>1</v>
      </c>
    </row>
    <row r="553" spans="1:52" x14ac:dyDescent="0.35">
      <c r="A553">
        <v>2025221662080</v>
      </c>
      <c r="B553">
        <v>2025</v>
      </c>
      <c r="C553">
        <v>221662080</v>
      </c>
      <c r="D553">
        <v>410732</v>
      </c>
      <c r="E553">
        <v>245589</v>
      </c>
      <c r="F553">
        <v>-1.8447100000000001</v>
      </c>
      <c r="G553">
        <v>52.108530000000002</v>
      </c>
      <c r="H553">
        <v>22</v>
      </c>
      <c r="I553">
        <v>1</v>
      </c>
      <c r="J553" t="str">
        <f>VLOOKUP(I553, Lookups!$B$1:$C$4, 2, FALSE)</f>
        <v>Fatal</v>
      </c>
      <c r="K553">
        <v>2</v>
      </c>
      <c r="L553">
        <v>1</v>
      </c>
      <c r="M553" s="1">
        <v>45961</v>
      </c>
      <c r="N553">
        <v>6</v>
      </c>
      <c r="O553" t="str">
        <f>VLOOKUP(N553, Lookups!$B$6:$C$12, 2, FALSE)</f>
        <v>Friday</v>
      </c>
      <c r="P553" s="2">
        <v>0.79861111111111116</v>
      </c>
      <c r="Q553">
        <v>-1</v>
      </c>
      <c r="R553" t="s">
        <v>54</v>
      </c>
      <c r="S553" t="s">
        <v>45</v>
      </c>
      <c r="T553" t="s">
        <v>45</v>
      </c>
      <c r="U553">
        <v>6</v>
      </c>
      <c r="V553" t="str">
        <f>VLOOKUP(U553, Lookups!$B$51:$C$57, 2, FALSE)</f>
        <v>Unclassified</v>
      </c>
      <c r="W553">
        <v>0</v>
      </c>
      <c r="X553" t="s">
        <v>362</v>
      </c>
      <c r="Y553">
        <v>6</v>
      </c>
      <c r="Z553" t="str">
        <f>VLOOKUP(Y553, Lookups!$B$14:$C$21, 2, FALSE)</f>
        <v>Single carriageway</v>
      </c>
      <c r="AA553">
        <v>60</v>
      </c>
      <c r="AB553">
        <v>-1</v>
      </c>
      <c r="AC553">
        <v>0</v>
      </c>
      <c r="AD553">
        <v>-1</v>
      </c>
      <c r="AE553">
        <v>6</v>
      </c>
      <c r="AF553">
        <v>0</v>
      </c>
      <c r="AG553">
        <v>-1</v>
      </c>
      <c r="AH553">
        <v>-1</v>
      </c>
      <c r="AI553">
        <v>0</v>
      </c>
      <c r="AJ553">
        <v>6</v>
      </c>
      <c r="AK553" t="str">
        <f>VLOOKUP(AJ553, Lookups!$B$23:$C$28, 2, FALSE)</f>
        <v>Darkness (Unlit)</v>
      </c>
      <c r="AL553">
        <v>1</v>
      </c>
      <c r="AM553" t="str">
        <f>VLOOKUP(AL553, Lookups!$B$30:$C$39, 2, FALSE)</f>
        <v>Fine / Clear</v>
      </c>
      <c r="AN553">
        <v>2</v>
      </c>
      <c r="AO553" t="str">
        <f>VLOOKUP(AN553, Lookups!$B$41:$C$49, 2, FALSE)</f>
        <v>Wet / damp</v>
      </c>
      <c r="AP553">
        <v>-1</v>
      </c>
      <c r="AQ553">
        <v>-1</v>
      </c>
      <c r="AR553">
        <v>0</v>
      </c>
      <c r="AS553">
        <v>2</v>
      </c>
      <c r="AT553">
        <v>1</v>
      </c>
      <c r="AU553">
        <v>2</v>
      </c>
      <c r="AV553" t="s">
        <v>171</v>
      </c>
      <c r="AW553">
        <v>1</v>
      </c>
      <c r="AX553">
        <v>1</v>
      </c>
      <c r="AY553">
        <v>0</v>
      </c>
      <c r="AZ553">
        <v>0</v>
      </c>
    </row>
    <row r="554" spans="1:52" x14ac:dyDescent="0.35">
      <c r="A554">
        <v>2025221676972</v>
      </c>
      <c r="B554">
        <v>2025</v>
      </c>
      <c r="C554">
        <v>221676972</v>
      </c>
      <c r="D554">
        <v>395892</v>
      </c>
      <c r="E554">
        <v>270686</v>
      </c>
      <c r="F554">
        <v>-2.0617100000000002</v>
      </c>
      <c r="G554">
        <v>52.334240000000001</v>
      </c>
      <c r="H554">
        <v>22</v>
      </c>
      <c r="I554">
        <v>3</v>
      </c>
      <c r="J554" t="str">
        <f>VLOOKUP(I554, Lookups!$B$1:$C$4, 2, FALSE)</f>
        <v>Slight</v>
      </c>
      <c r="K554">
        <v>1</v>
      </c>
      <c r="L554">
        <v>1</v>
      </c>
      <c r="M554" s="1">
        <v>45993</v>
      </c>
      <c r="N554">
        <v>3</v>
      </c>
      <c r="O554" t="str">
        <f>VLOOKUP(N554, Lookups!$B$6:$C$12, 2, FALSE)</f>
        <v>Tuesday</v>
      </c>
      <c r="P554" s="2">
        <v>0.4513888888888889</v>
      </c>
      <c r="Q554">
        <v>-1</v>
      </c>
      <c r="R554" t="s">
        <v>47</v>
      </c>
      <c r="S554" t="s">
        <v>45</v>
      </c>
      <c r="T554" t="s">
        <v>45</v>
      </c>
      <c r="U554">
        <v>4</v>
      </c>
      <c r="V554" t="str">
        <f>VLOOKUP(U554, Lookups!$B$51:$C$57, 2, FALSE)</f>
        <v>B</v>
      </c>
      <c r="W554">
        <v>4184</v>
      </c>
      <c r="X554" t="str">
        <f>V554&amp;W554</f>
        <v>B4184</v>
      </c>
      <c r="Y554">
        <v>6</v>
      </c>
      <c r="Z554" t="str">
        <f>VLOOKUP(Y554, Lookups!$B$14:$C$21, 2, FALSE)</f>
        <v>Single carriageway</v>
      </c>
      <c r="AA554">
        <v>30</v>
      </c>
      <c r="AB554">
        <v>-1</v>
      </c>
      <c r="AC554">
        <v>0</v>
      </c>
      <c r="AD554">
        <v>-1</v>
      </c>
      <c r="AE554">
        <v>4</v>
      </c>
      <c r="AF554">
        <v>4184</v>
      </c>
      <c r="AG554">
        <v>-1</v>
      </c>
      <c r="AH554">
        <v>-1</v>
      </c>
      <c r="AI554">
        <v>14</v>
      </c>
      <c r="AJ554">
        <v>1</v>
      </c>
      <c r="AK554" t="str">
        <f>VLOOKUP(AJ554, Lookups!$B$23:$C$28, 2, FALSE)</f>
        <v>Daylight</v>
      </c>
      <c r="AL554">
        <v>1</v>
      </c>
      <c r="AM554" t="str">
        <f>VLOOKUP(AL554, Lookups!$B$30:$C$39, 2, FALSE)</f>
        <v>Fine / Clear</v>
      </c>
      <c r="AN554">
        <v>2</v>
      </c>
      <c r="AO554" t="str">
        <f>VLOOKUP(AN554, Lookups!$B$41:$C$49, 2, FALSE)</f>
        <v>Wet / damp</v>
      </c>
      <c r="AP554">
        <v>-1</v>
      </c>
      <c r="AQ554">
        <v>-1</v>
      </c>
      <c r="AR554">
        <v>0</v>
      </c>
      <c r="AS554">
        <v>1</v>
      </c>
      <c r="AT554">
        <v>3</v>
      </c>
      <c r="AU554">
        <v>2</v>
      </c>
      <c r="AV554" t="s">
        <v>71</v>
      </c>
      <c r="AW554">
        <v>3</v>
      </c>
      <c r="AX554">
        <v>1</v>
      </c>
      <c r="AY554">
        <v>0</v>
      </c>
      <c r="AZ554">
        <v>1</v>
      </c>
    </row>
    <row r="555" spans="1:52" x14ac:dyDescent="0.35">
      <c r="A555">
        <v>2025221626399</v>
      </c>
      <c r="B555">
        <v>2025</v>
      </c>
      <c r="C555">
        <v>221626399</v>
      </c>
      <c r="D555">
        <v>398217</v>
      </c>
      <c r="E555">
        <v>264391</v>
      </c>
      <c r="F555">
        <v>-2.0275500000000002</v>
      </c>
      <c r="G555">
        <v>52.277659999999997</v>
      </c>
      <c r="H555">
        <v>22</v>
      </c>
      <c r="I555">
        <v>2</v>
      </c>
      <c r="J555" t="str">
        <f>VLOOKUP(I555, Lookups!$B$1:$C$4, 2, FALSE)</f>
        <v>Serious</v>
      </c>
      <c r="K555">
        <v>2</v>
      </c>
      <c r="L555">
        <v>1</v>
      </c>
      <c r="M555" s="1">
        <v>45877</v>
      </c>
      <c r="N555">
        <v>6</v>
      </c>
      <c r="O555" t="str">
        <f>VLOOKUP(N555, Lookups!$B$6:$C$12, 2, FALSE)</f>
        <v>Friday</v>
      </c>
      <c r="P555" s="2">
        <v>0.33333333333333331</v>
      </c>
      <c r="Q555">
        <v>-1</v>
      </c>
      <c r="R555" t="s">
        <v>54</v>
      </c>
      <c r="S555" t="s">
        <v>45</v>
      </c>
      <c r="T555" t="s">
        <v>45</v>
      </c>
      <c r="U555">
        <v>6</v>
      </c>
      <c r="V555" t="str">
        <f>VLOOKUP(U555, Lookups!$B$51:$C$57, 2, FALSE)</f>
        <v>Unclassified</v>
      </c>
      <c r="W555">
        <v>0</v>
      </c>
      <c r="X555" t="s">
        <v>362</v>
      </c>
      <c r="Y555">
        <v>6</v>
      </c>
      <c r="Z555" t="str">
        <f>VLOOKUP(Y555, Lookups!$B$14:$C$21, 2, FALSE)</f>
        <v>Single carriageway</v>
      </c>
      <c r="AA555">
        <v>60</v>
      </c>
      <c r="AB555">
        <v>-1</v>
      </c>
      <c r="AC555">
        <v>16</v>
      </c>
      <c r="AD555">
        <v>4</v>
      </c>
      <c r="AE555">
        <v>6</v>
      </c>
      <c r="AF555">
        <v>0</v>
      </c>
      <c r="AG555">
        <v>-1</v>
      </c>
      <c r="AH555">
        <v>-1</v>
      </c>
      <c r="AI555">
        <v>0</v>
      </c>
      <c r="AJ555">
        <v>1</v>
      </c>
      <c r="AK555" t="str">
        <f>VLOOKUP(AJ555, Lookups!$B$23:$C$28, 2, FALSE)</f>
        <v>Daylight</v>
      </c>
      <c r="AL555">
        <v>1</v>
      </c>
      <c r="AM555" t="str">
        <f>VLOOKUP(AL555, Lookups!$B$30:$C$39, 2, FALSE)</f>
        <v>Fine / Clear</v>
      </c>
      <c r="AN555">
        <v>1</v>
      </c>
      <c r="AO555" t="str">
        <f>VLOOKUP(AN555, Lookups!$B$41:$C$49, 2, FALSE)</f>
        <v>Dry</v>
      </c>
      <c r="AP555">
        <v>-1</v>
      </c>
      <c r="AQ555">
        <v>-1</v>
      </c>
      <c r="AR555">
        <v>0</v>
      </c>
      <c r="AS555">
        <v>2</v>
      </c>
      <c r="AT555">
        <v>1</v>
      </c>
      <c r="AU555">
        <v>2</v>
      </c>
      <c r="AV555" t="s">
        <v>257</v>
      </c>
      <c r="AW555">
        <v>7</v>
      </c>
      <c r="AX555">
        <v>1</v>
      </c>
      <c r="AY555">
        <v>1</v>
      </c>
      <c r="AZ555">
        <v>0</v>
      </c>
    </row>
    <row r="556" spans="1:52" x14ac:dyDescent="0.35">
      <c r="A556">
        <v>2025221588344</v>
      </c>
      <c r="B556">
        <v>2025</v>
      </c>
      <c r="C556">
        <v>221588344</v>
      </c>
      <c r="D556">
        <v>411678</v>
      </c>
      <c r="E556">
        <v>244095</v>
      </c>
      <c r="F556">
        <v>-1.8309500000000001</v>
      </c>
      <c r="G556">
        <v>52.095080000000003</v>
      </c>
      <c r="H556">
        <v>22</v>
      </c>
      <c r="I556">
        <v>3</v>
      </c>
      <c r="J556" t="str">
        <f>VLOOKUP(I556, Lookups!$B$1:$C$4, 2, FALSE)</f>
        <v>Slight</v>
      </c>
      <c r="K556">
        <v>1</v>
      </c>
      <c r="L556">
        <v>1</v>
      </c>
      <c r="M556" s="1">
        <v>45787</v>
      </c>
      <c r="N556">
        <v>7</v>
      </c>
      <c r="O556" t="str">
        <f>VLOOKUP(N556, Lookups!$B$6:$C$12, 2, FALSE)</f>
        <v>Saturday</v>
      </c>
      <c r="P556" s="2">
        <v>0.89236111111111116</v>
      </c>
      <c r="Q556">
        <v>-1</v>
      </c>
      <c r="R556" t="s">
        <v>54</v>
      </c>
      <c r="S556" t="s">
        <v>45</v>
      </c>
      <c r="T556" t="s">
        <v>45</v>
      </c>
      <c r="U556">
        <v>6</v>
      </c>
      <c r="V556" t="str">
        <f>VLOOKUP(U556, Lookups!$B$51:$C$57, 2, FALSE)</f>
        <v>Unclassified</v>
      </c>
      <c r="W556">
        <v>0</v>
      </c>
      <c r="X556" t="s">
        <v>362</v>
      </c>
      <c r="Y556">
        <v>6</v>
      </c>
      <c r="Z556" t="str">
        <f>VLOOKUP(Y556, Lookups!$B$14:$C$21, 2, FALSE)</f>
        <v>Single carriageway</v>
      </c>
      <c r="AA556">
        <v>30</v>
      </c>
      <c r="AB556">
        <v>-1</v>
      </c>
      <c r="AC556">
        <v>16</v>
      </c>
      <c r="AD556">
        <v>4</v>
      </c>
      <c r="AE556">
        <v>6</v>
      </c>
      <c r="AF556">
        <v>0</v>
      </c>
      <c r="AG556">
        <v>-1</v>
      </c>
      <c r="AH556">
        <v>-1</v>
      </c>
      <c r="AI556">
        <v>13</v>
      </c>
      <c r="AJ556">
        <v>6</v>
      </c>
      <c r="AK556" t="str">
        <f>VLOOKUP(AJ556, Lookups!$B$23:$C$28, 2, FALSE)</f>
        <v>Darkness (Unlit)</v>
      </c>
      <c r="AL556">
        <v>1</v>
      </c>
      <c r="AM556" t="str">
        <f>VLOOKUP(AL556, Lookups!$B$30:$C$39, 2, FALSE)</f>
        <v>Fine / Clear</v>
      </c>
      <c r="AN556">
        <v>1</v>
      </c>
      <c r="AO556" t="str">
        <f>VLOOKUP(AN556, Lookups!$B$41:$C$49, 2, FALSE)</f>
        <v>Dry</v>
      </c>
      <c r="AP556">
        <v>-1</v>
      </c>
      <c r="AQ556">
        <v>-1</v>
      </c>
      <c r="AR556">
        <v>0</v>
      </c>
      <c r="AS556">
        <v>2</v>
      </c>
      <c r="AT556">
        <v>1</v>
      </c>
      <c r="AU556">
        <v>2</v>
      </c>
      <c r="AV556" t="s">
        <v>180</v>
      </c>
      <c r="AW556">
        <v>3</v>
      </c>
      <c r="AX556">
        <v>1</v>
      </c>
      <c r="AY556">
        <v>0</v>
      </c>
      <c r="AZ556">
        <v>1</v>
      </c>
    </row>
    <row r="557" spans="1:52" x14ac:dyDescent="0.35">
      <c r="A557">
        <v>2025221540946</v>
      </c>
      <c r="B557">
        <v>2025</v>
      </c>
      <c r="C557">
        <v>221540946</v>
      </c>
      <c r="D557">
        <v>377655</v>
      </c>
      <c r="E557">
        <v>248176</v>
      </c>
      <c r="F557">
        <v>-2.3278500000000002</v>
      </c>
      <c r="G557">
        <v>52.131430000000002</v>
      </c>
      <c r="H557">
        <v>22</v>
      </c>
      <c r="I557">
        <v>2</v>
      </c>
      <c r="J557" t="str">
        <f>VLOOKUP(I557, Lookups!$B$1:$C$4, 2, FALSE)</f>
        <v>Serious</v>
      </c>
      <c r="K557">
        <v>1</v>
      </c>
      <c r="L557">
        <v>1</v>
      </c>
      <c r="M557" s="1">
        <v>45667</v>
      </c>
      <c r="N557">
        <v>6</v>
      </c>
      <c r="O557" t="str">
        <f>VLOOKUP(N557, Lookups!$B$6:$C$12, 2, FALSE)</f>
        <v>Friday</v>
      </c>
      <c r="P557" s="2">
        <v>0.7729166666666667</v>
      </c>
      <c r="Q557">
        <v>-1</v>
      </c>
      <c r="R557" t="s">
        <v>49</v>
      </c>
      <c r="S557" t="s">
        <v>45</v>
      </c>
      <c r="T557" t="s">
        <v>45</v>
      </c>
      <c r="U557">
        <v>6</v>
      </c>
      <c r="V557" t="str">
        <f>VLOOKUP(U557, Lookups!$B$51:$C$57, 2, FALSE)</f>
        <v>Unclassified</v>
      </c>
      <c r="W557">
        <v>0</v>
      </c>
      <c r="X557" t="s">
        <v>362</v>
      </c>
      <c r="Y557">
        <v>6</v>
      </c>
      <c r="Z557" t="str">
        <f>VLOOKUP(Y557, Lookups!$B$14:$C$21, 2, FALSE)</f>
        <v>Single carriageway</v>
      </c>
      <c r="AA557">
        <v>30</v>
      </c>
      <c r="AB557">
        <v>-1</v>
      </c>
      <c r="AC557">
        <v>13</v>
      </c>
      <c r="AD557">
        <v>4</v>
      </c>
      <c r="AE557">
        <v>6</v>
      </c>
      <c r="AF557">
        <v>0</v>
      </c>
      <c r="AG557">
        <v>-1</v>
      </c>
      <c r="AH557">
        <v>-1</v>
      </c>
      <c r="AI557">
        <v>0</v>
      </c>
      <c r="AJ557">
        <v>4</v>
      </c>
      <c r="AK557" t="str">
        <f>VLOOKUP(AJ557, Lookups!$B$23:$C$28, 2, FALSE)</f>
        <v>Darkness (Lit)</v>
      </c>
      <c r="AL557">
        <v>1</v>
      </c>
      <c r="AM557" t="str">
        <f>VLOOKUP(AL557, Lookups!$B$30:$C$39, 2, FALSE)</f>
        <v>Fine / Clear</v>
      </c>
      <c r="AN557">
        <v>4</v>
      </c>
      <c r="AO557" t="str">
        <f>VLOOKUP(AN557, Lookups!$B$41:$C$49, 2, FALSE)</f>
        <v>Frost or ice</v>
      </c>
      <c r="AP557">
        <v>-1</v>
      </c>
      <c r="AQ557">
        <v>-1</v>
      </c>
      <c r="AR557">
        <v>0</v>
      </c>
      <c r="AS557">
        <v>1</v>
      </c>
      <c r="AT557">
        <v>1</v>
      </c>
      <c r="AU557">
        <v>2</v>
      </c>
      <c r="AV557" t="s">
        <v>287</v>
      </c>
      <c r="AW557">
        <v>6</v>
      </c>
      <c r="AX557">
        <v>1</v>
      </c>
      <c r="AY557">
        <v>1</v>
      </c>
      <c r="AZ557">
        <v>0</v>
      </c>
    </row>
    <row r="558" spans="1:52" x14ac:dyDescent="0.35">
      <c r="A558">
        <v>2025221675253</v>
      </c>
      <c r="B558">
        <v>2025</v>
      </c>
      <c r="C558">
        <v>221675253</v>
      </c>
      <c r="D558">
        <v>396867</v>
      </c>
      <c r="E558">
        <v>275532</v>
      </c>
      <c r="F558">
        <v>-2.04745</v>
      </c>
      <c r="G558">
        <v>52.37782</v>
      </c>
      <c r="H558">
        <v>22</v>
      </c>
      <c r="I558">
        <v>3</v>
      </c>
      <c r="J558" t="str">
        <f>VLOOKUP(I558, Lookups!$B$1:$C$4, 2, FALSE)</f>
        <v>Slight</v>
      </c>
      <c r="K558">
        <v>2</v>
      </c>
      <c r="L558">
        <v>2</v>
      </c>
      <c r="M558" s="1">
        <v>45988</v>
      </c>
      <c r="N558">
        <v>5</v>
      </c>
      <c r="O558" t="str">
        <f>VLOOKUP(N558, Lookups!$B$6:$C$12, 2, FALSE)</f>
        <v>Thursday</v>
      </c>
      <c r="P558" s="2">
        <v>0.68541666666666667</v>
      </c>
      <c r="Q558">
        <v>-1</v>
      </c>
      <c r="R558" t="s">
        <v>47</v>
      </c>
      <c r="S558" t="s">
        <v>45</v>
      </c>
      <c r="T558" t="s">
        <v>45</v>
      </c>
      <c r="U558">
        <v>1</v>
      </c>
      <c r="V558" t="str">
        <f>VLOOKUP(U558, Lookups!$B$51:$C$57, 2, FALSE)</f>
        <v>M</v>
      </c>
      <c r="W558">
        <v>5</v>
      </c>
      <c r="X558" t="str">
        <f t="shared" ref="X558:X561" si="76">V558&amp;W558</f>
        <v>M5</v>
      </c>
      <c r="Y558">
        <v>7</v>
      </c>
      <c r="Z558" t="str">
        <f>VLOOKUP(Y558, Lookups!$B$14:$C$21, 2, FALSE)</f>
        <v>Slip road</v>
      </c>
      <c r="AA558">
        <v>70</v>
      </c>
      <c r="AB558">
        <v>-1</v>
      </c>
      <c r="AC558">
        <v>0</v>
      </c>
      <c r="AD558">
        <v>-1</v>
      </c>
      <c r="AE558">
        <v>3</v>
      </c>
      <c r="AF558">
        <v>38</v>
      </c>
      <c r="AG558">
        <v>-1</v>
      </c>
      <c r="AH558">
        <v>-1</v>
      </c>
      <c r="AI558">
        <v>0</v>
      </c>
      <c r="AJ558">
        <v>1</v>
      </c>
      <c r="AK558" t="str">
        <f>VLOOKUP(AJ558, Lookups!$B$23:$C$28, 2, FALSE)</f>
        <v>Daylight</v>
      </c>
      <c r="AL558">
        <v>1</v>
      </c>
      <c r="AM558" t="str">
        <f>VLOOKUP(AL558, Lookups!$B$30:$C$39, 2, FALSE)</f>
        <v>Fine / Clear</v>
      </c>
      <c r="AN558">
        <v>1</v>
      </c>
      <c r="AO558" t="str">
        <f>VLOOKUP(AN558, Lookups!$B$41:$C$49, 2, FALSE)</f>
        <v>Dry</v>
      </c>
      <c r="AP558">
        <v>-1</v>
      </c>
      <c r="AQ558">
        <v>-1</v>
      </c>
      <c r="AR558">
        <v>0</v>
      </c>
      <c r="AS558">
        <v>2</v>
      </c>
      <c r="AT558">
        <v>3</v>
      </c>
      <c r="AU558">
        <v>1</v>
      </c>
      <c r="AV558" t="s">
        <v>125</v>
      </c>
      <c r="AW558">
        <v>3</v>
      </c>
      <c r="AX558">
        <v>1</v>
      </c>
      <c r="AY558">
        <v>0</v>
      </c>
      <c r="AZ558">
        <v>1</v>
      </c>
    </row>
    <row r="559" spans="1:52" x14ac:dyDescent="0.35">
      <c r="A559">
        <v>2025221619482</v>
      </c>
      <c r="B559">
        <v>2025</v>
      </c>
      <c r="C559">
        <v>221619482</v>
      </c>
      <c r="D559">
        <v>387566</v>
      </c>
      <c r="E559">
        <v>243831</v>
      </c>
      <c r="F559">
        <v>-2.1829000000000001</v>
      </c>
      <c r="G559">
        <v>52.092680000000001</v>
      </c>
      <c r="H559">
        <v>22</v>
      </c>
      <c r="I559">
        <v>3</v>
      </c>
      <c r="J559" t="str">
        <f>VLOOKUP(I559, Lookups!$B$1:$C$4, 2, FALSE)</f>
        <v>Slight</v>
      </c>
      <c r="K559">
        <v>2</v>
      </c>
      <c r="L559">
        <v>1</v>
      </c>
      <c r="M559" s="1">
        <v>45849</v>
      </c>
      <c r="N559">
        <v>6</v>
      </c>
      <c r="O559" t="str">
        <f>VLOOKUP(N559, Lookups!$B$6:$C$12, 2, FALSE)</f>
        <v>Friday</v>
      </c>
      <c r="P559" s="2">
        <v>0.4861111111111111</v>
      </c>
      <c r="Q559">
        <v>-1</v>
      </c>
      <c r="R559" t="s">
        <v>49</v>
      </c>
      <c r="S559" t="s">
        <v>45</v>
      </c>
      <c r="T559" t="s">
        <v>45</v>
      </c>
      <c r="U559">
        <v>1</v>
      </c>
      <c r="V559" t="str">
        <f>VLOOKUP(U559, Lookups!$B$51:$C$57, 2, FALSE)</f>
        <v>M</v>
      </c>
      <c r="W559">
        <v>5</v>
      </c>
      <c r="X559" t="str">
        <f t="shared" si="76"/>
        <v>M5</v>
      </c>
      <c r="Y559">
        <v>3</v>
      </c>
      <c r="Z559" t="str">
        <f>VLOOKUP(Y559, Lookups!$B$14:$C$21, 2, FALSE)</f>
        <v>Dual carriageway</v>
      </c>
      <c r="AA559">
        <v>70</v>
      </c>
      <c r="AB559">
        <v>-1</v>
      </c>
      <c r="AC559">
        <v>0</v>
      </c>
      <c r="AD559">
        <v>-1</v>
      </c>
      <c r="AE559">
        <v>0</v>
      </c>
      <c r="AF559">
        <v>-1</v>
      </c>
      <c r="AG559">
        <v>-1</v>
      </c>
      <c r="AH559">
        <v>-1</v>
      </c>
      <c r="AI559">
        <v>0</v>
      </c>
      <c r="AJ559">
        <v>1</v>
      </c>
      <c r="AK559" t="str">
        <f>VLOOKUP(AJ559, Lookups!$B$23:$C$28, 2, FALSE)</f>
        <v>Daylight</v>
      </c>
      <c r="AL559">
        <v>1</v>
      </c>
      <c r="AM559" t="str">
        <f>VLOOKUP(AL559, Lookups!$B$30:$C$39, 2, FALSE)</f>
        <v>Fine / Clear</v>
      </c>
      <c r="AN559">
        <v>1</v>
      </c>
      <c r="AO559" t="str">
        <f>VLOOKUP(AN559, Lookups!$B$41:$C$49, 2, FALSE)</f>
        <v>Dry</v>
      </c>
      <c r="AP559">
        <v>-1</v>
      </c>
      <c r="AQ559">
        <v>-1</v>
      </c>
      <c r="AR559">
        <v>0</v>
      </c>
      <c r="AS559">
        <v>2</v>
      </c>
      <c r="AT559">
        <v>3</v>
      </c>
      <c r="AU559">
        <v>1</v>
      </c>
      <c r="AV559" t="s">
        <v>50</v>
      </c>
      <c r="AW559">
        <v>3</v>
      </c>
      <c r="AX559">
        <v>1</v>
      </c>
      <c r="AY559">
        <v>0</v>
      </c>
      <c r="AZ559">
        <v>1</v>
      </c>
    </row>
    <row r="560" spans="1:52" x14ac:dyDescent="0.35">
      <c r="A560">
        <v>2025221625164</v>
      </c>
      <c r="B560">
        <v>2025</v>
      </c>
      <c r="C560">
        <v>221625164</v>
      </c>
      <c r="D560">
        <v>394404</v>
      </c>
      <c r="E560">
        <v>271366</v>
      </c>
      <c r="F560">
        <v>-2.0835599999999999</v>
      </c>
      <c r="G560">
        <v>52.340339999999998</v>
      </c>
      <c r="H560">
        <v>22</v>
      </c>
      <c r="I560">
        <v>3</v>
      </c>
      <c r="J560" t="str">
        <f>VLOOKUP(I560, Lookups!$B$1:$C$4, 2, FALSE)</f>
        <v>Slight</v>
      </c>
      <c r="K560">
        <v>3</v>
      </c>
      <c r="L560">
        <v>1</v>
      </c>
      <c r="M560" s="1">
        <v>45873</v>
      </c>
      <c r="N560">
        <v>2</v>
      </c>
      <c r="O560" t="str">
        <f>VLOOKUP(N560, Lookups!$B$6:$C$12, 2, FALSE)</f>
        <v>Monday</v>
      </c>
      <c r="P560" s="2">
        <v>0.31597222222222221</v>
      </c>
      <c r="Q560">
        <v>-1</v>
      </c>
      <c r="R560" t="s">
        <v>47</v>
      </c>
      <c r="S560" t="s">
        <v>45</v>
      </c>
      <c r="T560" t="s">
        <v>45</v>
      </c>
      <c r="U560">
        <v>1</v>
      </c>
      <c r="V560" t="str">
        <f>VLOOKUP(U560, Lookups!$B$51:$C$57, 2, FALSE)</f>
        <v>M</v>
      </c>
      <c r="W560">
        <v>5</v>
      </c>
      <c r="X560" t="str">
        <f t="shared" si="76"/>
        <v>M5</v>
      </c>
      <c r="Y560">
        <v>3</v>
      </c>
      <c r="Z560" t="str">
        <f>VLOOKUP(Y560, Lookups!$B$14:$C$21, 2, FALSE)</f>
        <v>Dual carriageway</v>
      </c>
      <c r="AA560">
        <v>70</v>
      </c>
      <c r="AB560">
        <v>-1</v>
      </c>
      <c r="AC560">
        <v>0</v>
      </c>
      <c r="AD560">
        <v>-1</v>
      </c>
      <c r="AE560">
        <v>0</v>
      </c>
      <c r="AF560">
        <v>-1</v>
      </c>
      <c r="AG560">
        <v>-1</v>
      </c>
      <c r="AH560">
        <v>-1</v>
      </c>
      <c r="AI560">
        <v>0</v>
      </c>
      <c r="AJ560">
        <v>1</v>
      </c>
      <c r="AK560" t="str">
        <f>VLOOKUP(AJ560, Lookups!$B$23:$C$28, 2, FALSE)</f>
        <v>Daylight</v>
      </c>
      <c r="AL560">
        <v>1</v>
      </c>
      <c r="AM560" t="str">
        <f>VLOOKUP(AL560, Lookups!$B$30:$C$39, 2, FALSE)</f>
        <v>Fine / Clear</v>
      </c>
      <c r="AN560">
        <v>1</v>
      </c>
      <c r="AO560" t="str">
        <f>VLOOKUP(AN560, Lookups!$B$41:$C$49, 2, FALSE)</f>
        <v>Dry</v>
      </c>
      <c r="AP560">
        <v>-1</v>
      </c>
      <c r="AQ560">
        <v>-1</v>
      </c>
      <c r="AR560">
        <v>0</v>
      </c>
      <c r="AS560">
        <v>2</v>
      </c>
      <c r="AT560">
        <v>1</v>
      </c>
      <c r="AU560">
        <v>1</v>
      </c>
      <c r="AV560" t="s">
        <v>196</v>
      </c>
      <c r="AW560">
        <v>3</v>
      </c>
      <c r="AX560">
        <v>1</v>
      </c>
      <c r="AY560">
        <v>0</v>
      </c>
      <c r="AZ560">
        <v>1</v>
      </c>
    </row>
    <row r="561" spans="1:52" x14ac:dyDescent="0.35">
      <c r="A561">
        <v>2025221627948</v>
      </c>
      <c r="B561">
        <v>2025</v>
      </c>
      <c r="C561">
        <v>221627948</v>
      </c>
      <c r="D561">
        <v>386966</v>
      </c>
      <c r="E561">
        <v>241650</v>
      </c>
      <c r="F561">
        <v>-2.1915800000000001</v>
      </c>
      <c r="G561">
        <v>52.073059999999998</v>
      </c>
      <c r="H561">
        <v>22</v>
      </c>
      <c r="I561">
        <v>3</v>
      </c>
      <c r="J561" t="str">
        <f>VLOOKUP(I561, Lookups!$B$1:$C$4, 2, FALSE)</f>
        <v>Slight</v>
      </c>
      <c r="K561">
        <v>2</v>
      </c>
      <c r="L561">
        <v>1</v>
      </c>
      <c r="M561" s="1">
        <v>45881</v>
      </c>
      <c r="N561">
        <v>3</v>
      </c>
      <c r="O561" t="str">
        <f>VLOOKUP(N561, Lookups!$B$6:$C$12, 2, FALSE)</f>
        <v>Tuesday</v>
      </c>
      <c r="P561" s="2">
        <v>0.48472222222222222</v>
      </c>
      <c r="Q561">
        <v>-1</v>
      </c>
      <c r="R561" t="s">
        <v>49</v>
      </c>
      <c r="S561" t="s">
        <v>45</v>
      </c>
      <c r="T561" t="s">
        <v>45</v>
      </c>
      <c r="U561">
        <v>3</v>
      </c>
      <c r="V561" t="str">
        <f>VLOOKUP(U561, Lookups!$B$51:$C$57, 2, FALSE)</f>
        <v>A</v>
      </c>
      <c r="W561">
        <v>4104</v>
      </c>
      <c r="X561" t="str">
        <f t="shared" si="76"/>
        <v>A4104</v>
      </c>
      <c r="Y561">
        <v>6</v>
      </c>
      <c r="Z561" t="str">
        <f>VLOOKUP(Y561, Lookups!$B$14:$C$21, 2, FALSE)</f>
        <v>Single carriageway</v>
      </c>
      <c r="AA561">
        <v>60</v>
      </c>
      <c r="AB561">
        <v>-1</v>
      </c>
      <c r="AC561">
        <v>13</v>
      </c>
      <c r="AD561">
        <v>4</v>
      </c>
      <c r="AE561">
        <v>6</v>
      </c>
      <c r="AF561">
        <v>0</v>
      </c>
      <c r="AG561">
        <v>-1</v>
      </c>
      <c r="AH561">
        <v>-1</v>
      </c>
      <c r="AI561">
        <v>0</v>
      </c>
      <c r="AJ561">
        <v>1</v>
      </c>
      <c r="AK561" t="str">
        <f>VLOOKUP(AJ561, Lookups!$B$23:$C$28, 2, FALSE)</f>
        <v>Daylight</v>
      </c>
      <c r="AL561">
        <v>1</v>
      </c>
      <c r="AM561" t="str">
        <f>VLOOKUP(AL561, Lookups!$B$30:$C$39, 2, FALSE)</f>
        <v>Fine / Clear</v>
      </c>
      <c r="AN561">
        <v>1</v>
      </c>
      <c r="AO561" t="str">
        <f>VLOOKUP(AN561, Lookups!$B$41:$C$49, 2, FALSE)</f>
        <v>Dry</v>
      </c>
      <c r="AP561">
        <v>-1</v>
      </c>
      <c r="AQ561">
        <v>-1</v>
      </c>
      <c r="AR561">
        <v>0</v>
      </c>
      <c r="AS561">
        <v>2</v>
      </c>
      <c r="AT561">
        <v>1</v>
      </c>
      <c r="AU561">
        <v>2</v>
      </c>
      <c r="AV561" t="s">
        <v>189</v>
      </c>
      <c r="AW561">
        <v>3</v>
      </c>
      <c r="AX561">
        <v>1</v>
      </c>
      <c r="AY561">
        <v>0</v>
      </c>
      <c r="AZ561">
        <v>1</v>
      </c>
    </row>
    <row r="562" spans="1:52" x14ac:dyDescent="0.35">
      <c r="A562">
        <v>2025221578417</v>
      </c>
      <c r="B562">
        <v>2025</v>
      </c>
      <c r="C562">
        <v>221578417</v>
      </c>
      <c r="D562">
        <v>383357</v>
      </c>
      <c r="E562">
        <v>255958</v>
      </c>
      <c r="F562">
        <v>-2.2449400000000002</v>
      </c>
      <c r="G562">
        <v>52.201599999999999</v>
      </c>
      <c r="H562">
        <v>22</v>
      </c>
      <c r="I562">
        <v>3</v>
      </c>
      <c r="J562" t="str">
        <f>VLOOKUP(I562, Lookups!$B$1:$C$4, 2, FALSE)</f>
        <v>Slight</v>
      </c>
      <c r="K562">
        <v>1</v>
      </c>
      <c r="L562">
        <v>1</v>
      </c>
      <c r="M562" s="1">
        <v>45761</v>
      </c>
      <c r="N562">
        <v>2</v>
      </c>
      <c r="O562" t="str">
        <f>VLOOKUP(N562, Lookups!$B$6:$C$12, 2, FALSE)</f>
        <v>Monday</v>
      </c>
      <c r="P562" s="2">
        <v>0.32291666666666669</v>
      </c>
      <c r="Q562">
        <v>-1</v>
      </c>
      <c r="R562" t="s">
        <v>60</v>
      </c>
      <c r="S562" t="s">
        <v>45</v>
      </c>
      <c r="T562" t="s">
        <v>45</v>
      </c>
      <c r="U562">
        <v>6</v>
      </c>
      <c r="V562" t="str">
        <f>VLOOKUP(U562, Lookups!$B$51:$C$57, 2, FALSE)</f>
        <v>Unclassified</v>
      </c>
      <c r="W562">
        <v>0</v>
      </c>
      <c r="X562" t="s">
        <v>362</v>
      </c>
      <c r="Y562">
        <v>1</v>
      </c>
      <c r="Z562" t="str">
        <f>VLOOKUP(Y562, Lookups!$B$14:$C$21, 2, FALSE)</f>
        <v>Roundabout</v>
      </c>
      <c r="AA562">
        <v>30</v>
      </c>
      <c r="AB562">
        <v>-1</v>
      </c>
      <c r="AC562">
        <v>-1</v>
      </c>
      <c r="AD562">
        <v>4</v>
      </c>
      <c r="AE562">
        <v>6</v>
      </c>
      <c r="AF562">
        <v>0</v>
      </c>
      <c r="AG562">
        <v>-1</v>
      </c>
      <c r="AH562">
        <v>-1</v>
      </c>
      <c r="AI562">
        <v>0</v>
      </c>
      <c r="AJ562">
        <v>1</v>
      </c>
      <c r="AK562" t="str">
        <f>VLOOKUP(AJ562, Lookups!$B$23:$C$28, 2, FALSE)</f>
        <v>Daylight</v>
      </c>
      <c r="AL562">
        <v>1</v>
      </c>
      <c r="AM562" t="str">
        <f>VLOOKUP(AL562, Lookups!$B$30:$C$39, 2, FALSE)</f>
        <v>Fine / Clear</v>
      </c>
      <c r="AN562">
        <v>1</v>
      </c>
      <c r="AO562" t="str">
        <f>VLOOKUP(AN562, Lookups!$B$41:$C$49, 2, FALSE)</f>
        <v>Dry</v>
      </c>
      <c r="AP562">
        <v>-1</v>
      </c>
      <c r="AQ562">
        <v>-1</v>
      </c>
      <c r="AR562">
        <v>0</v>
      </c>
      <c r="AS562">
        <v>1</v>
      </c>
      <c r="AT562">
        <v>1</v>
      </c>
      <c r="AU562">
        <v>2</v>
      </c>
      <c r="AV562" t="s">
        <v>288</v>
      </c>
      <c r="AW562">
        <v>3</v>
      </c>
      <c r="AX562">
        <v>1</v>
      </c>
      <c r="AY562">
        <v>0</v>
      </c>
      <c r="AZ562">
        <v>1</v>
      </c>
    </row>
    <row r="563" spans="1:52" x14ac:dyDescent="0.35">
      <c r="A563">
        <v>2025221599900</v>
      </c>
      <c r="B563">
        <v>2025</v>
      </c>
      <c r="C563">
        <v>221599900</v>
      </c>
      <c r="D563">
        <v>404268</v>
      </c>
      <c r="E563">
        <v>266906</v>
      </c>
      <c r="F563">
        <v>-1.9388300000000001</v>
      </c>
      <c r="G563">
        <v>52.300260000000002</v>
      </c>
      <c r="H563">
        <v>22</v>
      </c>
      <c r="I563">
        <v>3</v>
      </c>
      <c r="J563" t="str">
        <f>VLOOKUP(I563, Lookups!$B$1:$C$4, 2, FALSE)</f>
        <v>Slight</v>
      </c>
      <c r="K563">
        <v>2</v>
      </c>
      <c r="L563">
        <v>1</v>
      </c>
      <c r="M563" s="1">
        <v>45813</v>
      </c>
      <c r="N563">
        <v>5</v>
      </c>
      <c r="O563" t="str">
        <f>VLOOKUP(N563, Lookups!$B$6:$C$12, 2, FALSE)</f>
        <v>Thursday</v>
      </c>
      <c r="P563" s="2">
        <v>0.71458333333333335</v>
      </c>
      <c r="Q563">
        <v>-1</v>
      </c>
      <c r="R563" t="s">
        <v>69</v>
      </c>
      <c r="S563" t="s">
        <v>45</v>
      </c>
      <c r="T563" t="s">
        <v>45</v>
      </c>
      <c r="U563">
        <v>6</v>
      </c>
      <c r="V563" t="str">
        <f>VLOOKUP(U563, Lookups!$B$51:$C$57, 2, FALSE)</f>
        <v>Unclassified</v>
      </c>
      <c r="W563">
        <v>0</v>
      </c>
      <c r="X563" t="s">
        <v>362</v>
      </c>
      <c r="Y563">
        <v>6</v>
      </c>
      <c r="Z563" t="str">
        <f>VLOOKUP(Y563, Lookups!$B$14:$C$21, 2, FALSE)</f>
        <v>Single carriageway</v>
      </c>
      <c r="AA563">
        <v>30</v>
      </c>
      <c r="AB563">
        <v>-1</v>
      </c>
      <c r="AC563">
        <v>13</v>
      </c>
      <c r="AD563">
        <v>4</v>
      </c>
      <c r="AE563">
        <v>6</v>
      </c>
      <c r="AF563">
        <v>0</v>
      </c>
      <c r="AG563">
        <v>-1</v>
      </c>
      <c r="AH563">
        <v>-1</v>
      </c>
      <c r="AI563">
        <v>0</v>
      </c>
      <c r="AJ563">
        <v>1</v>
      </c>
      <c r="AK563" t="str">
        <f>VLOOKUP(AJ563, Lookups!$B$23:$C$28, 2, FALSE)</f>
        <v>Daylight</v>
      </c>
      <c r="AL563">
        <v>1</v>
      </c>
      <c r="AM563" t="str">
        <f>VLOOKUP(AL563, Lookups!$B$30:$C$39, 2, FALSE)</f>
        <v>Fine / Clear</v>
      </c>
      <c r="AN563">
        <v>1</v>
      </c>
      <c r="AO563" t="str">
        <f>VLOOKUP(AN563, Lookups!$B$41:$C$49, 2, FALSE)</f>
        <v>Dry</v>
      </c>
      <c r="AP563">
        <v>-1</v>
      </c>
      <c r="AQ563">
        <v>-1</v>
      </c>
      <c r="AR563">
        <v>0</v>
      </c>
      <c r="AS563">
        <v>1</v>
      </c>
      <c r="AT563">
        <v>3</v>
      </c>
      <c r="AU563">
        <v>2</v>
      </c>
      <c r="AV563" t="s">
        <v>187</v>
      </c>
      <c r="AW563">
        <v>3</v>
      </c>
      <c r="AX563">
        <v>1</v>
      </c>
      <c r="AY563">
        <v>0</v>
      </c>
      <c r="AZ563">
        <v>1</v>
      </c>
    </row>
    <row r="564" spans="1:52" x14ac:dyDescent="0.35">
      <c r="A564">
        <v>2025221604624</v>
      </c>
      <c r="B564">
        <v>2025</v>
      </c>
      <c r="C564">
        <v>221604624</v>
      </c>
      <c r="D564">
        <v>378005</v>
      </c>
      <c r="E564">
        <v>233458</v>
      </c>
      <c r="F564">
        <v>-2.32179</v>
      </c>
      <c r="G564">
        <v>51.999119999999998</v>
      </c>
      <c r="H564">
        <v>22</v>
      </c>
      <c r="I564">
        <v>2</v>
      </c>
      <c r="J564" t="str">
        <f>VLOOKUP(I564, Lookups!$B$1:$C$4, 2, FALSE)</f>
        <v>Serious</v>
      </c>
      <c r="K564">
        <v>2</v>
      </c>
      <c r="L564">
        <v>1</v>
      </c>
      <c r="M564" s="1">
        <v>45826</v>
      </c>
      <c r="N564">
        <v>4</v>
      </c>
      <c r="O564" t="str">
        <f>VLOOKUP(N564, Lookups!$B$6:$C$12, 2, FALSE)</f>
        <v>Wednesday</v>
      </c>
      <c r="P564" s="2">
        <v>0.72152777777777777</v>
      </c>
      <c r="Q564">
        <v>-1</v>
      </c>
      <c r="R564" t="s">
        <v>49</v>
      </c>
      <c r="S564" t="s">
        <v>45</v>
      </c>
      <c r="T564" t="s">
        <v>45</v>
      </c>
      <c r="U564">
        <v>4</v>
      </c>
      <c r="V564" t="str">
        <f>VLOOKUP(U564, Lookups!$B$51:$C$57, 2, FALSE)</f>
        <v>B</v>
      </c>
      <c r="W564">
        <v>4208</v>
      </c>
      <c r="X564" t="str">
        <f t="shared" ref="X564:X566" si="77">V564&amp;W564</f>
        <v>B4208</v>
      </c>
      <c r="Y564">
        <v>6</v>
      </c>
      <c r="Z564" t="str">
        <f>VLOOKUP(Y564, Lookups!$B$14:$C$21, 2, FALSE)</f>
        <v>Single carriageway</v>
      </c>
      <c r="AA564">
        <v>60</v>
      </c>
      <c r="AB564">
        <v>-1</v>
      </c>
      <c r="AC564">
        <v>13</v>
      </c>
      <c r="AD564">
        <v>4</v>
      </c>
      <c r="AE564">
        <v>6</v>
      </c>
      <c r="AF564">
        <v>0</v>
      </c>
      <c r="AG564">
        <v>-1</v>
      </c>
      <c r="AH564">
        <v>-1</v>
      </c>
      <c r="AI564">
        <v>0</v>
      </c>
      <c r="AJ564">
        <v>1</v>
      </c>
      <c r="AK564" t="str">
        <f>VLOOKUP(AJ564, Lookups!$B$23:$C$28, 2, FALSE)</f>
        <v>Daylight</v>
      </c>
      <c r="AL564">
        <v>1</v>
      </c>
      <c r="AM564" t="str">
        <f>VLOOKUP(AL564, Lookups!$B$30:$C$39, 2, FALSE)</f>
        <v>Fine / Clear</v>
      </c>
      <c r="AN564">
        <v>1</v>
      </c>
      <c r="AO564" t="str">
        <f>VLOOKUP(AN564, Lookups!$B$41:$C$49, 2, FALSE)</f>
        <v>Dry</v>
      </c>
      <c r="AP564">
        <v>-1</v>
      </c>
      <c r="AQ564">
        <v>-1</v>
      </c>
      <c r="AR564">
        <v>0</v>
      </c>
      <c r="AS564">
        <v>2</v>
      </c>
      <c r="AT564">
        <v>1</v>
      </c>
      <c r="AU564">
        <v>2</v>
      </c>
      <c r="AV564" t="s">
        <v>82</v>
      </c>
      <c r="AW564">
        <v>7</v>
      </c>
      <c r="AX564">
        <v>1</v>
      </c>
      <c r="AY564">
        <v>1</v>
      </c>
      <c r="AZ564">
        <v>0</v>
      </c>
    </row>
    <row r="565" spans="1:52" x14ac:dyDescent="0.35">
      <c r="A565">
        <v>2025221605759</v>
      </c>
      <c r="B565">
        <v>2025</v>
      </c>
      <c r="C565">
        <v>221605759</v>
      </c>
      <c r="D565">
        <v>382067</v>
      </c>
      <c r="E565">
        <v>251070</v>
      </c>
      <c r="F565">
        <v>-2.26355</v>
      </c>
      <c r="G565">
        <v>52.157609999999998</v>
      </c>
      <c r="H565">
        <v>22</v>
      </c>
      <c r="I565">
        <v>2</v>
      </c>
      <c r="J565" t="str">
        <f>VLOOKUP(I565, Lookups!$B$1:$C$4, 2, FALSE)</f>
        <v>Serious</v>
      </c>
      <c r="K565">
        <v>2</v>
      </c>
      <c r="L565">
        <v>1</v>
      </c>
      <c r="M565" s="1">
        <v>45828</v>
      </c>
      <c r="N565">
        <v>6</v>
      </c>
      <c r="O565" t="str">
        <f>VLOOKUP(N565, Lookups!$B$6:$C$12, 2, FALSE)</f>
        <v>Friday</v>
      </c>
      <c r="P565" s="2">
        <v>0.66111111111111109</v>
      </c>
      <c r="Q565">
        <v>-1</v>
      </c>
      <c r="R565" t="s">
        <v>49</v>
      </c>
      <c r="S565" t="s">
        <v>45</v>
      </c>
      <c r="T565" t="s">
        <v>45</v>
      </c>
      <c r="U565">
        <v>3</v>
      </c>
      <c r="V565" t="str">
        <f>VLOOKUP(U565, Lookups!$B$51:$C$57, 2, FALSE)</f>
        <v>A</v>
      </c>
      <c r="W565">
        <v>449</v>
      </c>
      <c r="X565" t="str">
        <f t="shared" si="77"/>
        <v>A449</v>
      </c>
      <c r="Y565">
        <v>6</v>
      </c>
      <c r="Z565" t="str">
        <f>VLOOKUP(Y565, Lookups!$B$14:$C$21, 2, FALSE)</f>
        <v>Single carriageway</v>
      </c>
      <c r="AA565">
        <v>50</v>
      </c>
      <c r="AB565">
        <v>-1</v>
      </c>
      <c r="AC565">
        <v>19</v>
      </c>
      <c r="AD565">
        <v>4</v>
      </c>
      <c r="AE565">
        <v>6</v>
      </c>
      <c r="AF565">
        <v>0</v>
      </c>
      <c r="AG565">
        <v>-1</v>
      </c>
      <c r="AH565">
        <v>-1</v>
      </c>
      <c r="AI565">
        <v>0</v>
      </c>
      <c r="AJ565">
        <v>1</v>
      </c>
      <c r="AK565" t="str">
        <f>VLOOKUP(AJ565, Lookups!$B$23:$C$28, 2, FALSE)</f>
        <v>Daylight</v>
      </c>
      <c r="AL565">
        <v>1</v>
      </c>
      <c r="AM565" t="str">
        <f>VLOOKUP(AL565, Lookups!$B$30:$C$39, 2, FALSE)</f>
        <v>Fine / Clear</v>
      </c>
      <c r="AN565">
        <v>1</v>
      </c>
      <c r="AO565" t="str">
        <f>VLOOKUP(AN565, Lookups!$B$41:$C$49, 2, FALSE)</f>
        <v>Dry</v>
      </c>
      <c r="AP565">
        <v>-1</v>
      </c>
      <c r="AQ565">
        <v>-1</v>
      </c>
      <c r="AR565">
        <v>0</v>
      </c>
      <c r="AS565">
        <v>2</v>
      </c>
      <c r="AT565">
        <v>1</v>
      </c>
      <c r="AU565">
        <v>2</v>
      </c>
      <c r="AV565" t="s">
        <v>65</v>
      </c>
      <c r="AW565">
        <v>7</v>
      </c>
      <c r="AX565">
        <v>1</v>
      </c>
      <c r="AY565">
        <v>1</v>
      </c>
      <c r="AZ565">
        <v>0</v>
      </c>
    </row>
    <row r="566" spans="1:52" x14ac:dyDescent="0.35">
      <c r="A566">
        <v>2025221542421</v>
      </c>
      <c r="B566">
        <v>2025</v>
      </c>
      <c r="C566">
        <v>221542421</v>
      </c>
      <c r="D566">
        <v>403148</v>
      </c>
      <c r="E566">
        <v>274543</v>
      </c>
      <c r="F566">
        <v>-1.95519</v>
      </c>
      <c r="G566">
        <v>52.368929999999999</v>
      </c>
      <c r="H566">
        <v>22</v>
      </c>
      <c r="I566">
        <v>3</v>
      </c>
      <c r="J566" t="str">
        <f>VLOOKUP(I566, Lookups!$B$1:$C$4, 2, FALSE)</f>
        <v>Slight</v>
      </c>
      <c r="K566">
        <v>2</v>
      </c>
      <c r="L566">
        <v>1</v>
      </c>
      <c r="M566" s="1">
        <v>45673</v>
      </c>
      <c r="N566">
        <v>5</v>
      </c>
      <c r="O566" t="str">
        <f>VLOOKUP(N566, Lookups!$B$6:$C$12, 2, FALSE)</f>
        <v>Thursday</v>
      </c>
      <c r="P566" s="2">
        <v>0.50694444444444442</v>
      </c>
      <c r="Q566">
        <v>-1</v>
      </c>
      <c r="R566" t="s">
        <v>47</v>
      </c>
      <c r="S566" t="s">
        <v>45</v>
      </c>
      <c r="T566" t="s">
        <v>45</v>
      </c>
      <c r="U566">
        <v>3</v>
      </c>
      <c r="V566" t="str">
        <f>VLOOKUP(U566, Lookups!$B$51:$C$57, 2, FALSE)</f>
        <v>A</v>
      </c>
      <c r="W566">
        <v>441</v>
      </c>
      <c r="X566" t="str">
        <f t="shared" si="77"/>
        <v>A441</v>
      </c>
      <c r="Y566">
        <v>6</v>
      </c>
      <c r="Z566" t="str">
        <f>VLOOKUP(Y566, Lookups!$B$14:$C$21, 2, FALSE)</f>
        <v>Single carriageway</v>
      </c>
      <c r="AA566">
        <v>40</v>
      </c>
      <c r="AB566">
        <v>-1</v>
      </c>
      <c r="AC566">
        <v>17</v>
      </c>
      <c r="AD566">
        <v>4</v>
      </c>
      <c r="AE566">
        <v>3</v>
      </c>
      <c r="AF566">
        <v>441</v>
      </c>
      <c r="AG566">
        <v>-1</v>
      </c>
      <c r="AH566">
        <v>-1</v>
      </c>
      <c r="AI566">
        <v>0</v>
      </c>
      <c r="AJ566">
        <v>1</v>
      </c>
      <c r="AK566" t="str">
        <f>VLOOKUP(AJ566, Lookups!$B$23:$C$28, 2, FALSE)</f>
        <v>Daylight</v>
      </c>
      <c r="AL566">
        <v>1</v>
      </c>
      <c r="AM566" t="str">
        <f>VLOOKUP(AL566, Lookups!$B$30:$C$39, 2, FALSE)</f>
        <v>Fine / Clear</v>
      </c>
      <c r="AN566">
        <v>1</v>
      </c>
      <c r="AO566" t="str">
        <f>VLOOKUP(AN566, Lookups!$B$41:$C$49, 2, FALSE)</f>
        <v>Dry</v>
      </c>
      <c r="AP566">
        <v>-1</v>
      </c>
      <c r="AQ566">
        <v>-1</v>
      </c>
      <c r="AR566">
        <v>0</v>
      </c>
      <c r="AS566">
        <v>2</v>
      </c>
      <c r="AT566">
        <v>1</v>
      </c>
      <c r="AU566">
        <v>2</v>
      </c>
      <c r="AV566" t="s">
        <v>77</v>
      </c>
      <c r="AW566">
        <v>3</v>
      </c>
      <c r="AX566">
        <v>1</v>
      </c>
      <c r="AY566">
        <v>0</v>
      </c>
      <c r="AZ566">
        <v>1</v>
      </c>
    </row>
    <row r="567" spans="1:52" x14ac:dyDescent="0.35">
      <c r="A567">
        <v>2025221615067</v>
      </c>
      <c r="B567">
        <v>2025</v>
      </c>
      <c r="C567">
        <v>221615067</v>
      </c>
      <c r="D567">
        <v>387422</v>
      </c>
      <c r="E567">
        <v>256315</v>
      </c>
      <c r="F567">
        <v>-2.18547</v>
      </c>
      <c r="G567">
        <v>52.204909999999998</v>
      </c>
      <c r="H567">
        <v>22</v>
      </c>
      <c r="I567">
        <v>2</v>
      </c>
      <c r="J567" t="str">
        <f>VLOOKUP(I567, Lookups!$B$1:$C$4, 2, FALSE)</f>
        <v>Serious</v>
      </c>
      <c r="K567">
        <v>2</v>
      </c>
      <c r="L567">
        <v>1</v>
      </c>
      <c r="M567" s="1">
        <v>45850</v>
      </c>
      <c r="N567">
        <v>7</v>
      </c>
      <c r="O567" t="str">
        <f>VLOOKUP(N567, Lookups!$B$6:$C$12, 2, FALSE)</f>
        <v>Saturday</v>
      </c>
      <c r="P567" s="2">
        <v>0.52013888888888893</v>
      </c>
      <c r="Q567">
        <v>-1</v>
      </c>
      <c r="R567" t="s">
        <v>60</v>
      </c>
      <c r="S567" t="s">
        <v>45</v>
      </c>
      <c r="T567" t="s">
        <v>45</v>
      </c>
      <c r="U567">
        <v>6</v>
      </c>
      <c r="V567" t="str">
        <f>VLOOKUP(U567, Lookups!$B$51:$C$57, 2, FALSE)</f>
        <v>Unclassified</v>
      </c>
      <c r="W567">
        <v>0</v>
      </c>
      <c r="X567" t="s">
        <v>362</v>
      </c>
      <c r="Y567">
        <v>6</v>
      </c>
      <c r="Z567" t="str">
        <f>VLOOKUP(Y567, Lookups!$B$14:$C$21, 2, FALSE)</f>
        <v>Single carriageway</v>
      </c>
      <c r="AA567">
        <v>30</v>
      </c>
      <c r="AB567">
        <v>-1</v>
      </c>
      <c r="AC567">
        <v>13</v>
      </c>
      <c r="AD567">
        <v>4</v>
      </c>
      <c r="AE567">
        <v>6</v>
      </c>
      <c r="AF567">
        <v>0</v>
      </c>
      <c r="AG567">
        <v>-1</v>
      </c>
      <c r="AH567">
        <v>-1</v>
      </c>
      <c r="AI567">
        <v>0</v>
      </c>
      <c r="AJ567">
        <v>1</v>
      </c>
      <c r="AK567" t="str">
        <f>VLOOKUP(AJ567, Lookups!$B$23:$C$28, 2, FALSE)</f>
        <v>Daylight</v>
      </c>
      <c r="AL567">
        <v>1</v>
      </c>
      <c r="AM567" t="str">
        <f>VLOOKUP(AL567, Lookups!$B$30:$C$39, 2, FALSE)</f>
        <v>Fine / Clear</v>
      </c>
      <c r="AN567">
        <v>1</v>
      </c>
      <c r="AO567" t="str">
        <f>VLOOKUP(AN567, Lookups!$B$41:$C$49, 2, FALSE)</f>
        <v>Dry</v>
      </c>
      <c r="AP567">
        <v>-1</v>
      </c>
      <c r="AQ567">
        <v>-1</v>
      </c>
      <c r="AR567">
        <v>0</v>
      </c>
      <c r="AS567">
        <v>1</v>
      </c>
      <c r="AT567">
        <v>1</v>
      </c>
      <c r="AU567">
        <v>2</v>
      </c>
      <c r="AV567" t="s">
        <v>289</v>
      </c>
      <c r="AW567">
        <v>7</v>
      </c>
      <c r="AX567">
        <v>1</v>
      </c>
      <c r="AY567">
        <v>1</v>
      </c>
      <c r="AZ567">
        <v>0</v>
      </c>
    </row>
    <row r="568" spans="1:52" x14ac:dyDescent="0.35">
      <c r="A568">
        <v>2025221632923</v>
      </c>
      <c r="B568">
        <v>2025</v>
      </c>
      <c r="C568">
        <v>221632923</v>
      </c>
      <c r="D568">
        <v>385535</v>
      </c>
      <c r="E568">
        <v>253545</v>
      </c>
      <c r="F568">
        <v>-2.2129699999999999</v>
      </c>
      <c r="G568">
        <v>52.179960000000001</v>
      </c>
      <c r="H568">
        <v>22</v>
      </c>
      <c r="I568">
        <v>3</v>
      </c>
      <c r="J568" t="str">
        <f>VLOOKUP(I568, Lookups!$B$1:$C$4, 2, FALSE)</f>
        <v>Slight</v>
      </c>
      <c r="K568">
        <v>4</v>
      </c>
      <c r="L568">
        <v>1</v>
      </c>
      <c r="M568" s="1">
        <v>45894</v>
      </c>
      <c r="N568">
        <v>2</v>
      </c>
      <c r="O568" t="str">
        <f>VLOOKUP(N568, Lookups!$B$6:$C$12, 2, FALSE)</f>
        <v>Monday</v>
      </c>
      <c r="P568" s="2">
        <v>8.0555555555555561E-2</v>
      </c>
      <c r="Q568">
        <v>-1</v>
      </c>
      <c r="R568" t="s">
        <v>60</v>
      </c>
      <c r="S568" t="s">
        <v>45</v>
      </c>
      <c r="T568" t="s">
        <v>45</v>
      </c>
      <c r="U568">
        <v>6</v>
      </c>
      <c r="V568" t="str">
        <f>VLOOKUP(U568, Lookups!$B$51:$C$57, 2, FALSE)</f>
        <v>Unclassified</v>
      </c>
      <c r="W568">
        <v>0</v>
      </c>
      <c r="X568" t="s">
        <v>362</v>
      </c>
      <c r="Y568">
        <v>6</v>
      </c>
      <c r="Z568" t="str">
        <f>VLOOKUP(Y568, Lookups!$B$14:$C$21, 2, FALSE)</f>
        <v>Single carriageway</v>
      </c>
      <c r="AA568">
        <v>30</v>
      </c>
      <c r="AB568">
        <v>-1</v>
      </c>
      <c r="AC568">
        <v>0</v>
      </c>
      <c r="AD568">
        <v>-1</v>
      </c>
      <c r="AE568">
        <v>6</v>
      </c>
      <c r="AF568">
        <v>0</v>
      </c>
      <c r="AG568">
        <v>-1</v>
      </c>
      <c r="AH568">
        <v>-1</v>
      </c>
      <c r="AI568">
        <v>0</v>
      </c>
      <c r="AJ568">
        <v>4</v>
      </c>
      <c r="AK568" t="str">
        <f>VLOOKUP(AJ568, Lookups!$B$23:$C$28, 2, FALSE)</f>
        <v>Darkness (Lit)</v>
      </c>
      <c r="AL568">
        <v>1</v>
      </c>
      <c r="AM568" t="str">
        <f>VLOOKUP(AL568, Lookups!$B$30:$C$39, 2, FALSE)</f>
        <v>Fine / Clear</v>
      </c>
      <c r="AN568">
        <v>1</v>
      </c>
      <c r="AO568" t="str">
        <f>VLOOKUP(AN568, Lookups!$B$41:$C$49, 2, FALSE)</f>
        <v>Dry</v>
      </c>
      <c r="AP568">
        <v>-1</v>
      </c>
      <c r="AQ568">
        <v>-1</v>
      </c>
      <c r="AR568">
        <v>0</v>
      </c>
      <c r="AS568">
        <v>1</v>
      </c>
      <c r="AT568">
        <v>1</v>
      </c>
      <c r="AU568">
        <v>2</v>
      </c>
      <c r="AV568" t="s">
        <v>250</v>
      </c>
      <c r="AW568">
        <v>3</v>
      </c>
      <c r="AX568">
        <v>1</v>
      </c>
      <c r="AY568">
        <v>0</v>
      </c>
      <c r="AZ568">
        <v>1</v>
      </c>
    </row>
    <row r="569" spans="1:52" x14ac:dyDescent="0.35">
      <c r="A569">
        <v>2025221669524</v>
      </c>
      <c r="B569">
        <v>2025</v>
      </c>
      <c r="C569">
        <v>221669524</v>
      </c>
      <c r="D569">
        <v>378028</v>
      </c>
      <c r="E569">
        <v>275979</v>
      </c>
      <c r="F569">
        <v>-2.32422</v>
      </c>
      <c r="G569">
        <v>52.381399999999999</v>
      </c>
      <c r="H569">
        <v>22</v>
      </c>
      <c r="I569">
        <v>2</v>
      </c>
      <c r="J569" t="str">
        <f>VLOOKUP(I569, Lookups!$B$1:$C$4, 2, FALSE)</f>
        <v>Serious</v>
      </c>
      <c r="K569">
        <v>1</v>
      </c>
      <c r="L569">
        <v>1</v>
      </c>
      <c r="M569" s="1">
        <v>45973</v>
      </c>
      <c r="N569">
        <v>4</v>
      </c>
      <c r="O569" t="str">
        <f>VLOOKUP(N569, Lookups!$B$6:$C$12, 2, FALSE)</f>
        <v>Wednesday</v>
      </c>
      <c r="P569" s="2">
        <v>0.88194444444444442</v>
      </c>
      <c r="Q569">
        <v>-1</v>
      </c>
      <c r="R569" t="s">
        <v>44</v>
      </c>
      <c r="S569" t="s">
        <v>45</v>
      </c>
      <c r="T569" t="s">
        <v>45</v>
      </c>
      <c r="U569">
        <v>4</v>
      </c>
      <c r="V569" t="str">
        <f>VLOOKUP(U569, Lookups!$B$51:$C$57, 2, FALSE)</f>
        <v>B</v>
      </c>
      <c r="W569">
        <v>4194</v>
      </c>
      <c r="X569" t="str">
        <f>V569&amp;W569</f>
        <v>B4194</v>
      </c>
      <c r="Y569">
        <v>6</v>
      </c>
      <c r="Z569" t="str">
        <f>VLOOKUP(Y569, Lookups!$B$14:$C$21, 2, FALSE)</f>
        <v>Single carriageway</v>
      </c>
      <c r="AA569">
        <v>60</v>
      </c>
      <c r="AB569">
        <v>-1</v>
      </c>
      <c r="AC569">
        <v>0</v>
      </c>
      <c r="AD569">
        <v>-1</v>
      </c>
      <c r="AE569">
        <v>6</v>
      </c>
      <c r="AF569">
        <v>0</v>
      </c>
      <c r="AG569">
        <v>-1</v>
      </c>
      <c r="AH569">
        <v>-1</v>
      </c>
      <c r="AI569">
        <v>0</v>
      </c>
      <c r="AJ569">
        <v>6</v>
      </c>
      <c r="AK569" t="str">
        <f>VLOOKUP(AJ569, Lookups!$B$23:$C$28, 2, FALSE)</f>
        <v>Darkness (Unlit)</v>
      </c>
      <c r="AL569">
        <v>1</v>
      </c>
      <c r="AM569" t="str">
        <f>VLOOKUP(AL569, Lookups!$B$30:$C$39, 2, FALSE)</f>
        <v>Fine / Clear</v>
      </c>
      <c r="AN569">
        <v>2</v>
      </c>
      <c r="AO569" t="str">
        <f>VLOOKUP(AN569, Lookups!$B$41:$C$49, 2, FALSE)</f>
        <v>Wet / damp</v>
      </c>
      <c r="AP569">
        <v>-1</v>
      </c>
      <c r="AQ569">
        <v>-1</v>
      </c>
      <c r="AR569">
        <v>0</v>
      </c>
      <c r="AS569">
        <v>2</v>
      </c>
      <c r="AT569">
        <v>1</v>
      </c>
      <c r="AU569">
        <v>2</v>
      </c>
      <c r="AV569" t="s">
        <v>101</v>
      </c>
      <c r="AW569">
        <v>7</v>
      </c>
      <c r="AX569">
        <v>1</v>
      </c>
      <c r="AY569">
        <v>1</v>
      </c>
      <c r="AZ569">
        <v>0</v>
      </c>
    </row>
    <row r="570" spans="1:52" x14ac:dyDescent="0.35">
      <c r="A570">
        <v>2025221699259</v>
      </c>
      <c r="B570">
        <v>2025</v>
      </c>
      <c r="C570">
        <v>221699259</v>
      </c>
      <c r="D570">
        <v>398536</v>
      </c>
      <c r="E570">
        <v>250535</v>
      </c>
      <c r="F570">
        <v>-2.0228100000000002</v>
      </c>
      <c r="G570">
        <v>52.153089999999999</v>
      </c>
      <c r="H570">
        <v>22</v>
      </c>
      <c r="I570">
        <v>3</v>
      </c>
      <c r="J570" t="str">
        <f>VLOOKUP(I570, Lookups!$B$1:$C$4, 2, FALSE)</f>
        <v>Slight</v>
      </c>
      <c r="K570">
        <v>1</v>
      </c>
      <c r="L570">
        <v>1</v>
      </c>
      <c r="M570" s="1">
        <v>46014</v>
      </c>
      <c r="N570">
        <v>3</v>
      </c>
      <c r="O570" t="str">
        <f>VLOOKUP(N570, Lookups!$B$6:$C$12, 2, FALSE)</f>
        <v>Tuesday</v>
      </c>
      <c r="P570" s="2">
        <v>0.82847222222222228</v>
      </c>
      <c r="Q570">
        <v>-1</v>
      </c>
      <c r="R570" t="s">
        <v>54</v>
      </c>
      <c r="S570" t="s">
        <v>45</v>
      </c>
      <c r="T570" t="s">
        <v>45</v>
      </c>
      <c r="U570">
        <v>6</v>
      </c>
      <c r="V570" t="str">
        <f>VLOOKUP(U570, Lookups!$B$51:$C$57, 2, FALSE)</f>
        <v>Unclassified</v>
      </c>
      <c r="W570">
        <v>0</v>
      </c>
      <c r="X570" t="s">
        <v>362</v>
      </c>
      <c r="Y570">
        <v>6</v>
      </c>
      <c r="Z570" t="str">
        <f>VLOOKUP(Y570, Lookups!$B$14:$C$21, 2, FALSE)</f>
        <v>Single carriageway</v>
      </c>
      <c r="AA570">
        <v>60</v>
      </c>
      <c r="AB570">
        <v>-1</v>
      </c>
      <c r="AC570">
        <v>0</v>
      </c>
      <c r="AD570">
        <v>-1</v>
      </c>
      <c r="AE570">
        <v>0</v>
      </c>
      <c r="AF570">
        <v>-1</v>
      </c>
      <c r="AG570">
        <v>-1</v>
      </c>
      <c r="AH570">
        <v>-1</v>
      </c>
      <c r="AI570">
        <v>0</v>
      </c>
      <c r="AJ570">
        <v>6</v>
      </c>
      <c r="AK570" t="str">
        <f>VLOOKUP(AJ570, Lookups!$B$23:$C$28, 2, FALSE)</f>
        <v>Darkness (Unlit)</v>
      </c>
      <c r="AL570">
        <v>1</v>
      </c>
      <c r="AM570" t="str">
        <f>VLOOKUP(AL570, Lookups!$B$30:$C$39, 2, FALSE)</f>
        <v>Fine / Clear</v>
      </c>
      <c r="AN570">
        <v>2</v>
      </c>
      <c r="AO570" t="str">
        <f>VLOOKUP(AN570, Lookups!$B$41:$C$49, 2, FALSE)</f>
        <v>Wet / damp</v>
      </c>
      <c r="AP570">
        <v>-1</v>
      </c>
      <c r="AQ570">
        <v>-1</v>
      </c>
      <c r="AR570">
        <v>0</v>
      </c>
      <c r="AS570">
        <v>2</v>
      </c>
      <c r="AT570">
        <v>1</v>
      </c>
      <c r="AU570">
        <v>2</v>
      </c>
      <c r="AV570" t="s">
        <v>286</v>
      </c>
      <c r="AW570">
        <v>3</v>
      </c>
      <c r="AX570">
        <v>1</v>
      </c>
      <c r="AY570">
        <v>0</v>
      </c>
      <c r="AZ570">
        <v>1</v>
      </c>
    </row>
    <row r="571" spans="1:52" x14ac:dyDescent="0.35">
      <c r="A571">
        <v>2025221672366</v>
      </c>
      <c r="B571">
        <v>2025</v>
      </c>
      <c r="C571">
        <v>221672366</v>
      </c>
      <c r="D571">
        <v>392935</v>
      </c>
      <c r="E571">
        <v>265842</v>
      </c>
      <c r="F571">
        <v>-2.105</v>
      </c>
      <c r="G571">
        <v>52.290660000000003</v>
      </c>
      <c r="H571">
        <v>22</v>
      </c>
      <c r="I571">
        <v>2</v>
      </c>
      <c r="J571" t="str">
        <f>VLOOKUP(I571, Lookups!$B$1:$C$4, 2, FALSE)</f>
        <v>Serious</v>
      </c>
      <c r="K571">
        <v>1</v>
      </c>
      <c r="L571">
        <v>1</v>
      </c>
      <c r="M571" s="1">
        <v>45983</v>
      </c>
      <c r="N571">
        <v>7</v>
      </c>
      <c r="O571" t="str">
        <f>VLOOKUP(N571, Lookups!$B$6:$C$12, 2, FALSE)</f>
        <v>Saturday</v>
      </c>
      <c r="P571" s="2">
        <v>0.93958333333333333</v>
      </c>
      <c r="Q571">
        <v>-1</v>
      </c>
      <c r="R571" t="s">
        <v>54</v>
      </c>
      <c r="S571" t="s">
        <v>45</v>
      </c>
      <c r="T571" t="s">
        <v>45</v>
      </c>
      <c r="U571">
        <v>6</v>
      </c>
      <c r="V571" t="str">
        <f>VLOOKUP(U571, Lookups!$B$51:$C$57, 2, FALSE)</f>
        <v>Unclassified</v>
      </c>
      <c r="W571">
        <v>0</v>
      </c>
      <c r="X571" t="s">
        <v>362</v>
      </c>
      <c r="Y571">
        <v>6</v>
      </c>
      <c r="Z571" t="str">
        <f>VLOOKUP(Y571, Lookups!$B$14:$C$21, 2, FALSE)</f>
        <v>Single carriageway</v>
      </c>
      <c r="AA571">
        <v>60</v>
      </c>
      <c r="AB571">
        <v>-1</v>
      </c>
      <c r="AC571">
        <v>13</v>
      </c>
      <c r="AD571">
        <v>4</v>
      </c>
      <c r="AE571">
        <v>6</v>
      </c>
      <c r="AF571">
        <v>0</v>
      </c>
      <c r="AG571">
        <v>-1</v>
      </c>
      <c r="AH571">
        <v>-1</v>
      </c>
      <c r="AI571">
        <v>0</v>
      </c>
      <c r="AJ571">
        <v>6</v>
      </c>
      <c r="AK571" t="str">
        <f>VLOOKUP(AJ571, Lookups!$B$23:$C$28, 2, FALSE)</f>
        <v>Darkness (Unlit)</v>
      </c>
      <c r="AL571">
        <v>7</v>
      </c>
      <c r="AM571" t="str">
        <f>VLOOKUP(AL571, Lookups!$B$30:$C$39, 2, FALSE)</f>
        <v>Fog / Mist</v>
      </c>
      <c r="AN571">
        <v>2</v>
      </c>
      <c r="AO571" t="str">
        <f>VLOOKUP(AN571, Lookups!$B$41:$C$49, 2, FALSE)</f>
        <v>Wet / damp</v>
      </c>
      <c r="AP571">
        <v>-1</v>
      </c>
      <c r="AQ571">
        <v>-1</v>
      </c>
      <c r="AR571">
        <v>0</v>
      </c>
      <c r="AS571">
        <v>2</v>
      </c>
      <c r="AT571">
        <v>1</v>
      </c>
      <c r="AU571">
        <v>2</v>
      </c>
      <c r="AV571" t="s">
        <v>131</v>
      </c>
      <c r="AW571">
        <v>5</v>
      </c>
      <c r="AX571">
        <v>1</v>
      </c>
      <c r="AY571">
        <v>1</v>
      </c>
      <c r="AZ571">
        <v>0</v>
      </c>
    </row>
    <row r="572" spans="1:52" x14ac:dyDescent="0.35">
      <c r="A572">
        <v>2025221562022</v>
      </c>
      <c r="B572">
        <v>2025</v>
      </c>
      <c r="C572">
        <v>221562022</v>
      </c>
      <c r="D572">
        <v>389645</v>
      </c>
      <c r="E572">
        <v>264053</v>
      </c>
      <c r="F572">
        <v>-2.1531799999999999</v>
      </c>
      <c r="G572">
        <v>52.274529999999999</v>
      </c>
      <c r="H572">
        <v>22</v>
      </c>
      <c r="I572">
        <v>2</v>
      </c>
      <c r="J572" t="str">
        <f>VLOOKUP(I572, Lookups!$B$1:$C$4, 2, FALSE)</f>
        <v>Serious</v>
      </c>
      <c r="K572">
        <v>2</v>
      </c>
      <c r="L572">
        <v>1</v>
      </c>
      <c r="M572" s="1">
        <v>45722</v>
      </c>
      <c r="N572">
        <v>5</v>
      </c>
      <c r="O572" t="str">
        <f>VLOOKUP(N572, Lookups!$B$6:$C$12, 2, FALSE)</f>
        <v>Thursday</v>
      </c>
      <c r="P572" s="2">
        <v>0.32569444444444445</v>
      </c>
      <c r="Q572">
        <v>-1</v>
      </c>
      <c r="R572" t="s">
        <v>54</v>
      </c>
      <c r="S572" t="s">
        <v>45</v>
      </c>
      <c r="T572" t="s">
        <v>45</v>
      </c>
      <c r="U572">
        <v>3</v>
      </c>
      <c r="V572" t="str">
        <f>VLOOKUP(U572, Lookups!$B$51:$C$57, 2, FALSE)</f>
        <v>A</v>
      </c>
      <c r="W572">
        <v>38</v>
      </c>
      <c r="X572" t="str">
        <f t="shared" ref="X572:X573" si="78">V572&amp;W572</f>
        <v>A38</v>
      </c>
      <c r="Y572">
        <v>3</v>
      </c>
      <c r="Z572" t="str">
        <f>VLOOKUP(Y572, Lookups!$B$14:$C$21, 2, FALSE)</f>
        <v>Dual carriageway</v>
      </c>
      <c r="AA572">
        <v>70</v>
      </c>
      <c r="AB572">
        <v>-1</v>
      </c>
      <c r="AC572">
        <v>0</v>
      </c>
      <c r="AD572">
        <v>-1</v>
      </c>
      <c r="AE572">
        <v>0</v>
      </c>
      <c r="AF572">
        <v>-1</v>
      </c>
      <c r="AG572">
        <v>-1</v>
      </c>
      <c r="AH572">
        <v>-1</v>
      </c>
      <c r="AI572">
        <v>0</v>
      </c>
      <c r="AJ572">
        <v>1</v>
      </c>
      <c r="AK572" t="str">
        <f>VLOOKUP(AJ572, Lookups!$B$23:$C$28, 2, FALSE)</f>
        <v>Daylight</v>
      </c>
      <c r="AL572">
        <v>1</v>
      </c>
      <c r="AM572" t="str">
        <f>VLOOKUP(AL572, Lookups!$B$30:$C$39, 2, FALSE)</f>
        <v>Fine / Clear</v>
      </c>
      <c r="AN572">
        <v>1</v>
      </c>
      <c r="AO572" t="str">
        <f>VLOOKUP(AN572, Lookups!$B$41:$C$49, 2, FALSE)</f>
        <v>Dry</v>
      </c>
      <c r="AP572">
        <v>-1</v>
      </c>
      <c r="AQ572">
        <v>-1</v>
      </c>
      <c r="AR572">
        <v>0</v>
      </c>
      <c r="AS572">
        <v>2</v>
      </c>
      <c r="AT572">
        <v>1</v>
      </c>
      <c r="AU572">
        <v>2</v>
      </c>
      <c r="AV572" t="s">
        <v>269</v>
      </c>
      <c r="AW572">
        <v>7</v>
      </c>
      <c r="AX572">
        <v>1</v>
      </c>
      <c r="AY572">
        <v>1</v>
      </c>
      <c r="AZ572">
        <v>0</v>
      </c>
    </row>
    <row r="573" spans="1:52" x14ac:dyDescent="0.35">
      <c r="A573">
        <v>2025221565558</v>
      </c>
      <c r="B573">
        <v>2025</v>
      </c>
      <c r="C573">
        <v>221565558</v>
      </c>
      <c r="D573">
        <v>404052</v>
      </c>
      <c r="E573">
        <v>260077</v>
      </c>
      <c r="F573">
        <v>-1.94208</v>
      </c>
      <c r="G573">
        <v>52.238869999999999</v>
      </c>
      <c r="H573">
        <v>22</v>
      </c>
      <c r="I573">
        <v>3</v>
      </c>
      <c r="J573" t="str">
        <f>VLOOKUP(I573, Lookups!$B$1:$C$4, 2, FALSE)</f>
        <v>Slight</v>
      </c>
      <c r="K573">
        <v>3</v>
      </c>
      <c r="L573">
        <v>2</v>
      </c>
      <c r="M573" s="1">
        <v>45732</v>
      </c>
      <c r="N573">
        <v>1</v>
      </c>
      <c r="O573" t="str">
        <f>VLOOKUP(N573, Lookups!$B$6:$C$12, 2, FALSE)</f>
        <v>Sunday</v>
      </c>
      <c r="P573" s="2">
        <v>0.52361111111111114</v>
      </c>
      <c r="Q573">
        <v>-1</v>
      </c>
      <c r="R573" t="s">
        <v>54</v>
      </c>
      <c r="S573" t="s">
        <v>45</v>
      </c>
      <c r="T573" t="s">
        <v>45</v>
      </c>
      <c r="U573">
        <v>4</v>
      </c>
      <c r="V573" t="str">
        <f>VLOOKUP(U573, Lookups!$B$51:$C$57, 2, FALSE)</f>
        <v>B</v>
      </c>
      <c r="W573">
        <v>4092</v>
      </c>
      <c r="X573" t="str">
        <f t="shared" si="78"/>
        <v>B4092</v>
      </c>
      <c r="Y573">
        <v>6</v>
      </c>
      <c r="Z573" t="str">
        <f>VLOOKUP(Y573, Lookups!$B$14:$C$21, 2, FALSE)</f>
        <v>Single carriageway</v>
      </c>
      <c r="AA573">
        <v>60</v>
      </c>
      <c r="AB573">
        <v>-1</v>
      </c>
      <c r="AC573">
        <v>13</v>
      </c>
      <c r="AD573">
        <v>4</v>
      </c>
      <c r="AE573">
        <v>6</v>
      </c>
      <c r="AF573">
        <v>0</v>
      </c>
      <c r="AG573">
        <v>-1</v>
      </c>
      <c r="AH573">
        <v>-1</v>
      </c>
      <c r="AI573">
        <v>0</v>
      </c>
      <c r="AJ573">
        <v>1</v>
      </c>
      <c r="AK573" t="str">
        <f>VLOOKUP(AJ573, Lookups!$B$23:$C$28, 2, FALSE)</f>
        <v>Daylight</v>
      </c>
      <c r="AL573">
        <v>1</v>
      </c>
      <c r="AM573" t="str">
        <f>VLOOKUP(AL573, Lookups!$B$30:$C$39, 2, FALSE)</f>
        <v>Fine / Clear</v>
      </c>
      <c r="AN573">
        <v>1</v>
      </c>
      <c r="AO573" t="str">
        <f>VLOOKUP(AN573, Lookups!$B$41:$C$49, 2, FALSE)</f>
        <v>Dry</v>
      </c>
      <c r="AP573">
        <v>-1</v>
      </c>
      <c r="AQ573">
        <v>-1</v>
      </c>
      <c r="AR573">
        <v>0</v>
      </c>
      <c r="AS573">
        <v>2</v>
      </c>
      <c r="AT573">
        <v>1</v>
      </c>
      <c r="AU573">
        <v>2</v>
      </c>
      <c r="AV573" t="s">
        <v>141</v>
      </c>
      <c r="AW573">
        <v>3</v>
      </c>
      <c r="AX573">
        <v>1</v>
      </c>
      <c r="AY573">
        <v>0</v>
      </c>
      <c r="AZ573">
        <v>1</v>
      </c>
    </row>
    <row r="574" spans="1:52" x14ac:dyDescent="0.35">
      <c r="A574">
        <v>2025221576632</v>
      </c>
      <c r="B574">
        <v>2025</v>
      </c>
      <c r="C574">
        <v>221576632</v>
      </c>
      <c r="D574">
        <v>381263</v>
      </c>
      <c r="E574">
        <v>276605</v>
      </c>
      <c r="F574">
        <v>-2.2767300000000001</v>
      </c>
      <c r="G574">
        <v>52.387149999999998</v>
      </c>
      <c r="H574">
        <v>22</v>
      </c>
      <c r="I574">
        <v>2</v>
      </c>
      <c r="J574" t="str">
        <f>VLOOKUP(I574, Lookups!$B$1:$C$4, 2, FALSE)</f>
        <v>Serious</v>
      </c>
      <c r="K574">
        <v>2</v>
      </c>
      <c r="L574">
        <v>1</v>
      </c>
      <c r="M574" s="1">
        <v>45744</v>
      </c>
      <c r="N574">
        <v>6</v>
      </c>
      <c r="O574" t="str">
        <f>VLOOKUP(N574, Lookups!$B$6:$C$12, 2, FALSE)</f>
        <v>Friday</v>
      </c>
      <c r="P574" s="2">
        <v>0.77083333333333337</v>
      </c>
      <c r="Q574">
        <v>-1</v>
      </c>
      <c r="R574" t="s">
        <v>44</v>
      </c>
      <c r="S574" t="s">
        <v>45</v>
      </c>
      <c r="T574" t="s">
        <v>45</v>
      </c>
      <c r="U574">
        <v>6</v>
      </c>
      <c r="V574" t="str">
        <f>VLOOKUP(U574, Lookups!$B$51:$C$57, 2, FALSE)</f>
        <v>Unclassified</v>
      </c>
      <c r="W574">
        <v>0</v>
      </c>
      <c r="X574" t="s">
        <v>362</v>
      </c>
      <c r="Y574">
        <v>6</v>
      </c>
      <c r="Z574" t="str">
        <f>VLOOKUP(Y574, Lookups!$B$14:$C$21, 2, FALSE)</f>
        <v>Single carriageway</v>
      </c>
      <c r="AA574">
        <v>30</v>
      </c>
      <c r="AB574">
        <v>-1</v>
      </c>
      <c r="AC574">
        <v>13</v>
      </c>
      <c r="AD574">
        <v>4</v>
      </c>
      <c r="AE574">
        <v>6</v>
      </c>
      <c r="AF574">
        <v>0</v>
      </c>
      <c r="AG574">
        <v>-1</v>
      </c>
      <c r="AH574">
        <v>-1</v>
      </c>
      <c r="AI574">
        <v>0</v>
      </c>
      <c r="AJ574">
        <v>1</v>
      </c>
      <c r="AK574" t="str">
        <f>VLOOKUP(AJ574, Lookups!$B$23:$C$28, 2, FALSE)</f>
        <v>Daylight</v>
      </c>
      <c r="AL574">
        <v>1</v>
      </c>
      <c r="AM574" t="str">
        <f>VLOOKUP(AL574, Lookups!$B$30:$C$39, 2, FALSE)</f>
        <v>Fine / Clear</v>
      </c>
      <c r="AN574">
        <v>1</v>
      </c>
      <c r="AO574" t="str">
        <f>VLOOKUP(AN574, Lookups!$B$41:$C$49, 2, FALSE)</f>
        <v>Dry</v>
      </c>
      <c r="AP574">
        <v>-1</v>
      </c>
      <c r="AQ574">
        <v>-1</v>
      </c>
      <c r="AR574">
        <v>0</v>
      </c>
      <c r="AS574">
        <v>1</v>
      </c>
      <c r="AT574">
        <v>1</v>
      </c>
      <c r="AU574">
        <v>2</v>
      </c>
      <c r="AV574" t="s">
        <v>290</v>
      </c>
      <c r="AW574">
        <v>7</v>
      </c>
      <c r="AX574">
        <v>1</v>
      </c>
      <c r="AY574">
        <v>1</v>
      </c>
      <c r="AZ574">
        <v>0</v>
      </c>
    </row>
    <row r="575" spans="1:52" x14ac:dyDescent="0.35">
      <c r="A575">
        <v>2025221620954</v>
      </c>
      <c r="B575">
        <v>2025</v>
      </c>
      <c r="C575">
        <v>221620954</v>
      </c>
      <c r="D575">
        <v>385406</v>
      </c>
      <c r="E575">
        <v>254985</v>
      </c>
      <c r="F575">
        <v>-2.2149100000000002</v>
      </c>
      <c r="G575">
        <v>52.192909999999998</v>
      </c>
      <c r="H575">
        <v>22</v>
      </c>
      <c r="I575">
        <v>3</v>
      </c>
      <c r="J575" t="str">
        <f>VLOOKUP(I575, Lookups!$B$1:$C$4, 2, FALSE)</f>
        <v>Slight</v>
      </c>
      <c r="K575">
        <v>2</v>
      </c>
      <c r="L575">
        <v>1</v>
      </c>
      <c r="M575" s="1">
        <v>45863</v>
      </c>
      <c r="N575">
        <v>6</v>
      </c>
      <c r="O575" t="str">
        <f>VLOOKUP(N575, Lookups!$B$6:$C$12, 2, FALSE)</f>
        <v>Friday</v>
      </c>
      <c r="P575" s="2">
        <v>0.58680555555555558</v>
      </c>
      <c r="Q575">
        <v>-1</v>
      </c>
      <c r="R575" t="s">
        <v>60</v>
      </c>
      <c r="S575" t="s">
        <v>45</v>
      </c>
      <c r="T575" t="s">
        <v>45</v>
      </c>
      <c r="U575">
        <v>4</v>
      </c>
      <c r="V575" t="str">
        <f>VLOOKUP(U575, Lookups!$B$51:$C$57, 2, FALSE)</f>
        <v>B</v>
      </c>
      <c r="W575">
        <v>4205</v>
      </c>
      <c r="X575" t="str">
        <f t="shared" ref="X575:X576" si="79">V575&amp;W575</f>
        <v>B4205</v>
      </c>
      <c r="Y575">
        <v>1</v>
      </c>
      <c r="Z575" t="str">
        <f>VLOOKUP(Y575, Lookups!$B$14:$C$21, 2, FALSE)</f>
        <v>Roundabout</v>
      </c>
      <c r="AA575">
        <v>30</v>
      </c>
      <c r="AB575">
        <v>-1</v>
      </c>
      <c r="AC575">
        <v>-1</v>
      </c>
      <c r="AD575">
        <v>4</v>
      </c>
      <c r="AE575">
        <v>6</v>
      </c>
      <c r="AF575">
        <v>0</v>
      </c>
      <c r="AG575">
        <v>-1</v>
      </c>
      <c r="AH575">
        <v>-1</v>
      </c>
      <c r="AI575">
        <v>17</v>
      </c>
      <c r="AJ575">
        <v>1</v>
      </c>
      <c r="AK575" t="str">
        <f>VLOOKUP(AJ575, Lookups!$B$23:$C$28, 2, FALSE)</f>
        <v>Daylight</v>
      </c>
      <c r="AL575">
        <v>1</v>
      </c>
      <c r="AM575" t="str">
        <f>VLOOKUP(AL575, Lookups!$B$30:$C$39, 2, FALSE)</f>
        <v>Fine / Clear</v>
      </c>
      <c r="AN575">
        <v>1</v>
      </c>
      <c r="AO575" t="str">
        <f>VLOOKUP(AN575, Lookups!$B$41:$C$49, 2, FALSE)</f>
        <v>Dry</v>
      </c>
      <c r="AP575">
        <v>-1</v>
      </c>
      <c r="AQ575">
        <v>-1</v>
      </c>
      <c r="AR575">
        <v>0</v>
      </c>
      <c r="AS575">
        <v>1</v>
      </c>
      <c r="AT575">
        <v>3</v>
      </c>
      <c r="AU575">
        <v>2</v>
      </c>
      <c r="AV575" t="s">
        <v>68</v>
      </c>
      <c r="AW575">
        <v>3</v>
      </c>
      <c r="AX575">
        <v>1</v>
      </c>
      <c r="AY575">
        <v>0</v>
      </c>
      <c r="AZ575">
        <v>1</v>
      </c>
    </row>
    <row r="576" spans="1:52" x14ac:dyDescent="0.35">
      <c r="A576">
        <v>2025221648867</v>
      </c>
      <c r="B576">
        <v>2025</v>
      </c>
      <c r="C576">
        <v>221648867</v>
      </c>
      <c r="D576">
        <v>386196</v>
      </c>
      <c r="E576">
        <v>252127</v>
      </c>
      <c r="F576">
        <v>-2.2032400000000001</v>
      </c>
      <c r="G576">
        <v>52.167230000000004</v>
      </c>
      <c r="H576">
        <v>22</v>
      </c>
      <c r="I576">
        <v>3</v>
      </c>
      <c r="J576" t="str">
        <f>VLOOKUP(I576, Lookups!$B$1:$C$4, 2, FALSE)</f>
        <v>Slight</v>
      </c>
      <c r="K576">
        <v>2</v>
      </c>
      <c r="L576">
        <v>1</v>
      </c>
      <c r="M576" s="1">
        <v>45928</v>
      </c>
      <c r="N576">
        <v>1</v>
      </c>
      <c r="O576" t="str">
        <f>VLOOKUP(N576, Lookups!$B$6:$C$12, 2, FALSE)</f>
        <v>Sunday</v>
      </c>
      <c r="P576" s="2">
        <v>0.5805555555555556</v>
      </c>
      <c r="Q576">
        <v>-1</v>
      </c>
      <c r="R576" t="s">
        <v>49</v>
      </c>
      <c r="S576" t="s">
        <v>45</v>
      </c>
      <c r="T576" t="s">
        <v>45</v>
      </c>
      <c r="U576">
        <v>3</v>
      </c>
      <c r="V576" t="str">
        <f>VLOOKUP(U576, Lookups!$B$51:$C$57, 2, FALSE)</f>
        <v>A</v>
      </c>
      <c r="W576">
        <v>4440</v>
      </c>
      <c r="X576" t="str">
        <f t="shared" si="79"/>
        <v>A4440</v>
      </c>
      <c r="Y576">
        <v>3</v>
      </c>
      <c r="Z576" t="str">
        <f>VLOOKUP(Y576, Lookups!$B$14:$C$21, 2, FALSE)</f>
        <v>Dual carriageway</v>
      </c>
      <c r="AA576">
        <v>40</v>
      </c>
      <c r="AB576">
        <v>-1</v>
      </c>
      <c r="AC576">
        <v>19</v>
      </c>
      <c r="AD576">
        <v>4</v>
      </c>
      <c r="AE576">
        <v>3</v>
      </c>
      <c r="AF576">
        <v>4440</v>
      </c>
      <c r="AG576">
        <v>-1</v>
      </c>
      <c r="AH576">
        <v>-1</v>
      </c>
      <c r="AI576">
        <v>0</v>
      </c>
      <c r="AJ576">
        <v>1</v>
      </c>
      <c r="AK576" t="str">
        <f>VLOOKUP(AJ576, Lookups!$B$23:$C$28, 2, FALSE)</f>
        <v>Daylight</v>
      </c>
      <c r="AL576">
        <v>1</v>
      </c>
      <c r="AM576" t="str">
        <f>VLOOKUP(AL576, Lookups!$B$30:$C$39, 2, FALSE)</f>
        <v>Fine / Clear</v>
      </c>
      <c r="AN576">
        <v>1</v>
      </c>
      <c r="AO576" t="str">
        <f>VLOOKUP(AN576, Lookups!$B$41:$C$49, 2, FALSE)</f>
        <v>Dry</v>
      </c>
      <c r="AP576">
        <v>-1</v>
      </c>
      <c r="AQ576">
        <v>-1</v>
      </c>
      <c r="AR576">
        <v>0</v>
      </c>
      <c r="AS576">
        <v>1</v>
      </c>
      <c r="AT576">
        <v>1</v>
      </c>
      <c r="AU576">
        <v>2</v>
      </c>
      <c r="AV576" t="s">
        <v>50</v>
      </c>
      <c r="AW576">
        <v>3</v>
      </c>
      <c r="AX576">
        <v>1</v>
      </c>
      <c r="AY576">
        <v>0</v>
      </c>
      <c r="AZ576">
        <v>1</v>
      </c>
    </row>
    <row r="577" spans="1:52" x14ac:dyDescent="0.35">
      <c r="A577">
        <v>2025221567379</v>
      </c>
      <c r="B577">
        <v>2025</v>
      </c>
      <c r="C577">
        <v>221567379</v>
      </c>
      <c r="D577">
        <v>376983</v>
      </c>
      <c r="E577">
        <v>247588</v>
      </c>
      <c r="F577">
        <v>-2.3376299999999999</v>
      </c>
      <c r="G577">
        <v>52.12612</v>
      </c>
      <c r="H577">
        <v>22</v>
      </c>
      <c r="I577">
        <v>2</v>
      </c>
      <c r="J577" t="str">
        <f>VLOOKUP(I577, Lookups!$B$1:$C$4, 2, FALSE)</f>
        <v>Serious</v>
      </c>
      <c r="K577">
        <v>1</v>
      </c>
      <c r="L577">
        <v>1</v>
      </c>
      <c r="M577" s="1">
        <v>45736</v>
      </c>
      <c r="N577">
        <v>5</v>
      </c>
      <c r="O577" t="str">
        <f>VLOOKUP(N577, Lookups!$B$6:$C$12, 2, FALSE)</f>
        <v>Thursday</v>
      </c>
      <c r="P577" s="2">
        <v>0.64444444444444449</v>
      </c>
      <c r="Q577">
        <v>-1</v>
      </c>
      <c r="R577" t="s">
        <v>49</v>
      </c>
      <c r="S577" t="s">
        <v>45</v>
      </c>
      <c r="T577" t="s">
        <v>45</v>
      </c>
      <c r="U577">
        <v>6</v>
      </c>
      <c r="V577" t="str">
        <f>VLOOKUP(U577, Lookups!$B$51:$C$57, 2, FALSE)</f>
        <v>Unclassified</v>
      </c>
      <c r="W577">
        <v>0</v>
      </c>
      <c r="X577" t="s">
        <v>362</v>
      </c>
      <c r="Y577">
        <v>6</v>
      </c>
      <c r="Z577" t="str">
        <f>VLOOKUP(Y577, Lookups!$B$14:$C$21, 2, FALSE)</f>
        <v>Single carriageway</v>
      </c>
      <c r="AA577">
        <v>30</v>
      </c>
      <c r="AB577">
        <v>-1</v>
      </c>
      <c r="AC577">
        <v>0</v>
      </c>
      <c r="AD577">
        <v>-1</v>
      </c>
      <c r="AE577">
        <v>6</v>
      </c>
      <c r="AF577">
        <v>0</v>
      </c>
      <c r="AG577">
        <v>-1</v>
      </c>
      <c r="AH577">
        <v>-1</v>
      </c>
      <c r="AI577">
        <v>0</v>
      </c>
      <c r="AJ577">
        <v>1</v>
      </c>
      <c r="AK577" t="str">
        <f>VLOOKUP(AJ577, Lookups!$B$23:$C$28, 2, FALSE)</f>
        <v>Daylight</v>
      </c>
      <c r="AL577">
        <v>1</v>
      </c>
      <c r="AM577" t="str">
        <f>VLOOKUP(AL577, Lookups!$B$30:$C$39, 2, FALSE)</f>
        <v>Fine / Clear</v>
      </c>
      <c r="AN577">
        <v>1</v>
      </c>
      <c r="AO577" t="str">
        <f>VLOOKUP(AN577, Lookups!$B$41:$C$49, 2, FALSE)</f>
        <v>Dry</v>
      </c>
      <c r="AP577">
        <v>-1</v>
      </c>
      <c r="AQ577">
        <v>-1</v>
      </c>
      <c r="AR577">
        <v>0</v>
      </c>
      <c r="AS577">
        <v>1</v>
      </c>
      <c r="AT577">
        <v>1</v>
      </c>
      <c r="AU577">
        <v>2</v>
      </c>
      <c r="AV577" t="s">
        <v>291</v>
      </c>
      <c r="AW577">
        <v>7</v>
      </c>
      <c r="AX577">
        <v>1</v>
      </c>
      <c r="AY577">
        <v>1</v>
      </c>
      <c r="AZ577">
        <v>0</v>
      </c>
    </row>
    <row r="578" spans="1:52" x14ac:dyDescent="0.35">
      <c r="A578">
        <v>2025221574122</v>
      </c>
      <c r="B578">
        <v>2025</v>
      </c>
      <c r="C578">
        <v>221574122</v>
      </c>
      <c r="D578">
        <v>411247</v>
      </c>
      <c r="E578">
        <v>236989</v>
      </c>
      <c r="F578">
        <v>-1.8374699999999999</v>
      </c>
      <c r="G578">
        <v>52.031199999999998</v>
      </c>
      <c r="H578">
        <v>22</v>
      </c>
      <c r="I578">
        <v>2</v>
      </c>
      <c r="J578" t="str">
        <f>VLOOKUP(I578, Lookups!$B$1:$C$4, 2, FALSE)</f>
        <v>Serious</v>
      </c>
      <c r="K578">
        <v>2</v>
      </c>
      <c r="L578">
        <v>1</v>
      </c>
      <c r="M578" s="1">
        <v>45752</v>
      </c>
      <c r="N578">
        <v>7</v>
      </c>
      <c r="O578" t="str">
        <f>VLOOKUP(N578, Lookups!$B$6:$C$12, 2, FALSE)</f>
        <v>Saturday</v>
      </c>
      <c r="P578" s="2">
        <v>0.53125</v>
      </c>
      <c r="Q578">
        <v>-1</v>
      </c>
      <c r="R578" t="s">
        <v>54</v>
      </c>
      <c r="S578" t="s">
        <v>45</v>
      </c>
      <c r="T578" t="s">
        <v>45</v>
      </c>
      <c r="U578">
        <v>3</v>
      </c>
      <c r="V578" t="str">
        <f>VLOOKUP(U578, Lookups!$B$51:$C$57, 2, FALSE)</f>
        <v>A</v>
      </c>
      <c r="W578">
        <v>44</v>
      </c>
      <c r="X578" t="str">
        <f>V578&amp;W578</f>
        <v>A44</v>
      </c>
      <c r="Y578">
        <v>6</v>
      </c>
      <c r="Z578" t="str">
        <f>VLOOKUP(Y578, Lookups!$B$14:$C$21, 2, FALSE)</f>
        <v>Single carriageway</v>
      </c>
      <c r="AA578">
        <v>60</v>
      </c>
      <c r="AB578">
        <v>-1</v>
      </c>
      <c r="AC578">
        <v>0</v>
      </c>
      <c r="AD578">
        <v>-1</v>
      </c>
      <c r="AE578">
        <v>0</v>
      </c>
      <c r="AF578">
        <v>-1</v>
      </c>
      <c r="AG578">
        <v>-1</v>
      </c>
      <c r="AH578">
        <v>-1</v>
      </c>
      <c r="AI578">
        <v>0</v>
      </c>
      <c r="AJ578">
        <v>1</v>
      </c>
      <c r="AK578" t="str">
        <f>VLOOKUP(AJ578, Lookups!$B$23:$C$28, 2, FALSE)</f>
        <v>Daylight</v>
      </c>
      <c r="AL578">
        <v>1</v>
      </c>
      <c r="AM578" t="str">
        <f>VLOOKUP(AL578, Lookups!$B$30:$C$39, 2, FALSE)</f>
        <v>Fine / Clear</v>
      </c>
      <c r="AN578">
        <v>1</v>
      </c>
      <c r="AO578" t="str">
        <f>VLOOKUP(AN578, Lookups!$B$41:$C$49, 2, FALSE)</f>
        <v>Dry</v>
      </c>
      <c r="AP578">
        <v>-1</v>
      </c>
      <c r="AQ578">
        <v>-1</v>
      </c>
      <c r="AR578">
        <v>0</v>
      </c>
      <c r="AS578">
        <v>2</v>
      </c>
      <c r="AT578">
        <v>1</v>
      </c>
      <c r="AU578">
        <v>2</v>
      </c>
      <c r="AV578" t="s">
        <v>94</v>
      </c>
      <c r="AW578">
        <v>7</v>
      </c>
      <c r="AX578">
        <v>1</v>
      </c>
      <c r="AY578">
        <v>1</v>
      </c>
      <c r="AZ578">
        <v>0</v>
      </c>
    </row>
    <row r="579" spans="1:52" x14ac:dyDescent="0.35">
      <c r="A579">
        <v>2025221578066</v>
      </c>
      <c r="B579">
        <v>2025</v>
      </c>
      <c r="C579">
        <v>221578066</v>
      </c>
      <c r="D579">
        <v>383353</v>
      </c>
      <c r="E579">
        <v>276795</v>
      </c>
      <c r="F579">
        <v>-2.2460300000000002</v>
      </c>
      <c r="G579">
        <v>52.388919999999999</v>
      </c>
      <c r="H579">
        <v>22</v>
      </c>
      <c r="I579">
        <v>2</v>
      </c>
      <c r="J579" t="str">
        <f>VLOOKUP(I579, Lookups!$B$1:$C$4, 2, FALSE)</f>
        <v>Serious</v>
      </c>
      <c r="K579">
        <v>2</v>
      </c>
      <c r="L579">
        <v>1</v>
      </c>
      <c r="M579" s="1">
        <v>45761</v>
      </c>
      <c r="N579">
        <v>2</v>
      </c>
      <c r="O579" t="str">
        <f>VLOOKUP(N579, Lookups!$B$6:$C$12, 2, FALSE)</f>
        <v>Monday</v>
      </c>
      <c r="P579" s="2">
        <v>0.69791666666666663</v>
      </c>
      <c r="Q579">
        <v>-1</v>
      </c>
      <c r="R579" t="s">
        <v>44</v>
      </c>
      <c r="S579" t="s">
        <v>45</v>
      </c>
      <c r="T579" t="s">
        <v>45</v>
      </c>
      <c r="U579">
        <v>6</v>
      </c>
      <c r="V579" t="str">
        <f>VLOOKUP(U579, Lookups!$B$51:$C$57, 2, FALSE)</f>
        <v>Unclassified</v>
      </c>
      <c r="W579">
        <v>0</v>
      </c>
      <c r="X579" t="s">
        <v>362</v>
      </c>
      <c r="Y579">
        <v>6</v>
      </c>
      <c r="Z579" t="str">
        <f>VLOOKUP(Y579, Lookups!$B$14:$C$21, 2, FALSE)</f>
        <v>Single carriageway</v>
      </c>
      <c r="AA579">
        <v>30</v>
      </c>
      <c r="AB579">
        <v>-1</v>
      </c>
      <c r="AC579">
        <v>19</v>
      </c>
      <c r="AD579">
        <v>4</v>
      </c>
      <c r="AE579">
        <v>6</v>
      </c>
      <c r="AF579">
        <v>0</v>
      </c>
      <c r="AG579">
        <v>-1</v>
      </c>
      <c r="AH579">
        <v>-1</v>
      </c>
      <c r="AI579">
        <v>0</v>
      </c>
      <c r="AJ579">
        <v>1</v>
      </c>
      <c r="AK579" t="str">
        <f>VLOOKUP(AJ579, Lookups!$B$23:$C$28, 2, FALSE)</f>
        <v>Daylight</v>
      </c>
      <c r="AL579">
        <v>1</v>
      </c>
      <c r="AM579" t="str">
        <f>VLOOKUP(AL579, Lookups!$B$30:$C$39, 2, FALSE)</f>
        <v>Fine / Clear</v>
      </c>
      <c r="AN579">
        <v>1</v>
      </c>
      <c r="AO579" t="str">
        <f>VLOOKUP(AN579, Lookups!$B$41:$C$49, 2, FALSE)</f>
        <v>Dry</v>
      </c>
      <c r="AP579">
        <v>-1</v>
      </c>
      <c r="AQ579">
        <v>-1</v>
      </c>
      <c r="AR579">
        <v>0</v>
      </c>
      <c r="AS579">
        <v>1</v>
      </c>
      <c r="AT579">
        <v>3</v>
      </c>
      <c r="AU579">
        <v>2</v>
      </c>
      <c r="AV579" t="s">
        <v>170</v>
      </c>
      <c r="AW579">
        <v>7</v>
      </c>
      <c r="AX579">
        <v>1</v>
      </c>
      <c r="AY579">
        <v>1</v>
      </c>
      <c r="AZ579">
        <v>0</v>
      </c>
    </row>
    <row r="580" spans="1:52" x14ac:dyDescent="0.35">
      <c r="A580">
        <v>2025221593525</v>
      </c>
      <c r="B580">
        <v>2025</v>
      </c>
      <c r="C580">
        <v>221593525</v>
      </c>
      <c r="D580">
        <v>373112</v>
      </c>
      <c r="E580">
        <v>255821</v>
      </c>
      <c r="F580">
        <v>-2.3948299999999998</v>
      </c>
      <c r="G580">
        <v>52.199959999999997</v>
      </c>
      <c r="H580">
        <v>22</v>
      </c>
      <c r="I580">
        <v>3</v>
      </c>
      <c r="J580" t="str">
        <f>VLOOKUP(I580, Lookups!$B$1:$C$4, 2, FALSE)</f>
        <v>Slight</v>
      </c>
      <c r="K580">
        <v>2</v>
      </c>
      <c r="L580">
        <v>2</v>
      </c>
      <c r="M580" s="1">
        <v>45799</v>
      </c>
      <c r="N580">
        <v>5</v>
      </c>
      <c r="O580" t="str">
        <f>VLOOKUP(N580, Lookups!$B$6:$C$12, 2, FALSE)</f>
        <v>Thursday</v>
      </c>
      <c r="P580" s="2">
        <v>0.70694444444444449</v>
      </c>
      <c r="Q580">
        <v>-1</v>
      </c>
      <c r="R580" t="s">
        <v>49</v>
      </c>
      <c r="S580" t="s">
        <v>45</v>
      </c>
      <c r="T580" t="s">
        <v>45</v>
      </c>
      <c r="U580">
        <v>3</v>
      </c>
      <c r="V580" t="str">
        <f>VLOOKUP(U580, Lookups!$B$51:$C$57, 2, FALSE)</f>
        <v>A</v>
      </c>
      <c r="W580">
        <v>44</v>
      </c>
      <c r="X580" t="str">
        <f>V580&amp;W580</f>
        <v>A44</v>
      </c>
      <c r="Y580">
        <v>6</v>
      </c>
      <c r="Z580" t="str">
        <f>VLOOKUP(Y580, Lookups!$B$14:$C$21, 2, FALSE)</f>
        <v>Single carriageway</v>
      </c>
      <c r="AA580">
        <v>60</v>
      </c>
      <c r="AB580">
        <v>-1</v>
      </c>
      <c r="AC580">
        <v>13</v>
      </c>
      <c r="AD580">
        <v>4</v>
      </c>
      <c r="AE580">
        <v>6</v>
      </c>
      <c r="AF580">
        <v>0</v>
      </c>
      <c r="AG580">
        <v>-1</v>
      </c>
      <c r="AH580">
        <v>-1</v>
      </c>
      <c r="AI580">
        <v>0</v>
      </c>
      <c r="AJ580">
        <v>1</v>
      </c>
      <c r="AK580" t="str">
        <f>VLOOKUP(AJ580, Lookups!$B$23:$C$28, 2, FALSE)</f>
        <v>Daylight</v>
      </c>
      <c r="AL580">
        <v>1</v>
      </c>
      <c r="AM580" t="str">
        <f>VLOOKUP(AL580, Lookups!$B$30:$C$39, 2, FALSE)</f>
        <v>Fine / Clear</v>
      </c>
      <c r="AN580">
        <v>1</v>
      </c>
      <c r="AO580" t="str">
        <f>VLOOKUP(AN580, Lookups!$B$41:$C$49, 2, FALSE)</f>
        <v>Dry</v>
      </c>
      <c r="AP580">
        <v>-1</v>
      </c>
      <c r="AQ580">
        <v>-1</v>
      </c>
      <c r="AR580">
        <v>0</v>
      </c>
      <c r="AS580">
        <v>2</v>
      </c>
      <c r="AT580">
        <v>1</v>
      </c>
      <c r="AU580">
        <v>2</v>
      </c>
      <c r="AV580" t="s">
        <v>224</v>
      </c>
      <c r="AW580">
        <v>3</v>
      </c>
      <c r="AX580">
        <v>1</v>
      </c>
      <c r="AY580">
        <v>0</v>
      </c>
      <c r="AZ580">
        <v>1</v>
      </c>
    </row>
    <row r="581" spans="1:52" x14ac:dyDescent="0.35">
      <c r="A581">
        <v>2025221600481</v>
      </c>
      <c r="B581">
        <v>2025</v>
      </c>
      <c r="C581">
        <v>221600481</v>
      </c>
      <c r="D581">
        <v>399062</v>
      </c>
      <c r="E581">
        <v>252204</v>
      </c>
      <c r="F581">
        <v>-2.0151300000000001</v>
      </c>
      <c r="G581">
        <v>52.168100000000003</v>
      </c>
      <c r="H581">
        <v>22</v>
      </c>
      <c r="I581">
        <v>2</v>
      </c>
      <c r="J581" t="str">
        <f>VLOOKUP(I581, Lookups!$B$1:$C$4, 2, FALSE)</f>
        <v>Serious</v>
      </c>
      <c r="K581">
        <v>1</v>
      </c>
      <c r="L581">
        <v>1</v>
      </c>
      <c r="M581" s="1">
        <v>45813</v>
      </c>
      <c r="N581">
        <v>5</v>
      </c>
      <c r="O581" t="str">
        <f>VLOOKUP(N581, Lookups!$B$6:$C$12, 2, FALSE)</f>
        <v>Thursday</v>
      </c>
      <c r="P581" s="2">
        <v>0.95833333333333337</v>
      </c>
      <c r="Q581">
        <v>-1</v>
      </c>
      <c r="R581" t="s">
        <v>54</v>
      </c>
      <c r="S581" t="s">
        <v>45</v>
      </c>
      <c r="T581" t="s">
        <v>45</v>
      </c>
      <c r="U581">
        <v>6</v>
      </c>
      <c r="V581" t="str">
        <f>VLOOKUP(U581, Lookups!$B$51:$C$57, 2, FALSE)</f>
        <v>Unclassified</v>
      </c>
      <c r="W581">
        <v>0</v>
      </c>
      <c r="X581" t="s">
        <v>362</v>
      </c>
      <c r="Y581">
        <v>6</v>
      </c>
      <c r="Z581" t="str">
        <f>VLOOKUP(Y581, Lookups!$B$14:$C$21, 2, FALSE)</f>
        <v>Single carriageway</v>
      </c>
      <c r="AA581">
        <v>60</v>
      </c>
      <c r="AB581">
        <v>-1</v>
      </c>
      <c r="AC581">
        <v>0</v>
      </c>
      <c r="AD581">
        <v>-1</v>
      </c>
      <c r="AE581">
        <v>6</v>
      </c>
      <c r="AF581">
        <v>0</v>
      </c>
      <c r="AG581">
        <v>-1</v>
      </c>
      <c r="AH581">
        <v>-1</v>
      </c>
      <c r="AI581">
        <v>0</v>
      </c>
      <c r="AJ581">
        <v>6</v>
      </c>
      <c r="AK581" t="str">
        <f>VLOOKUP(AJ581, Lookups!$B$23:$C$28, 2, FALSE)</f>
        <v>Darkness (Unlit)</v>
      </c>
      <c r="AL581">
        <v>1</v>
      </c>
      <c r="AM581" t="str">
        <f>VLOOKUP(AL581, Lookups!$B$30:$C$39, 2, FALSE)</f>
        <v>Fine / Clear</v>
      </c>
      <c r="AN581">
        <v>1</v>
      </c>
      <c r="AO581" t="str">
        <f>VLOOKUP(AN581, Lookups!$B$41:$C$49, 2, FALSE)</f>
        <v>Dry</v>
      </c>
      <c r="AP581">
        <v>-1</v>
      </c>
      <c r="AQ581">
        <v>-1</v>
      </c>
      <c r="AR581">
        <v>0</v>
      </c>
      <c r="AS581">
        <v>2</v>
      </c>
      <c r="AT581">
        <v>1</v>
      </c>
      <c r="AU581">
        <v>2</v>
      </c>
      <c r="AV581" t="s">
        <v>219</v>
      </c>
      <c r="AW581">
        <v>7</v>
      </c>
      <c r="AX581">
        <v>1</v>
      </c>
      <c r="AY581">
        <v>1</v>
      </c>
      <c r="AZ581">
        <v>0</v>
      </c>
    </row>
    <row r="582" spans="1:52" x14ac:dyDescent="0.35">
      <c r="A582">
        <v>2025221605999</v>
      </c>
      <c r="B582">
        <v>2025</v>
      </c>
      <c r="C582">
        <v>221605999</v>
      </c>
      <c r="D582">
        <v>388914</v>
      </c>
      <c r="E582">
        <v>278953</v>
      </c>
      <c r="F582">
        <v>-2.16439</v>
      </c>
      <c r="G582">
        <v>52.408470000000001</v>
      </c>
      <c r="H582">
        <v>22</v>
      </c>
      <c r="I582">
        <v>3</v>
      </c>
      <c r="J582" t="str">
        <f>VLOOKUP(I582, Lookups!$B$1:$C$4, 2, FALSE)</f>
        <v>Slight</v>
      </c>
      <c r="K582">
        <v>2</v>
      </c>
      <c r="L582">
        <v>1</v>
      </c>
      <c r="M582" s="1">
        <v>45827</v>
      </c>
      <c r="N582">
        <v>5</v>
      </c>
      <c r="O582" t="str">
        <f>VLOOKUP(N582, Lookups!$B$6:$C$12, 2, FALSE)</f>
        <v>Thursday</v>
      </c>
      <c r="P582" s="2">
        <v>0.27083333333333331</v>
      </c>
      <c r="Q582">
        <v>-1</v>
      </c>
      <c r="R582" t="s">
        <v>44</v>
      </c>
      <c r="S582" t="s">
        <v>45</v>
      </c>
      <c r="T582" t="s">
        <v>45</v>
      </c>
      <c r="U582">
        <v>3</v>
      </c>
      <c r="V582" t="str">
        <f>VLOOKUP(U582, Lookups!$B$51:$C$57, 2, FALSE)</f>
        <v>A</v>
      </c>
      <c r="W582">
        <v>456</v>
      </c>
      <c r="X582" t="str">
        <f t="shared" ref="X582:X585" si="80">V582&amp;W582</f>
        <v>A456</v>
      </c>
      <c r="Y582">
        <v>6</v>
      </c>
      <c r="Z582" t="str">
        <f>VLOOKUP(Y582, Lookups!$B$14:$C$21, 2, FALSE)</f>
        <v>Single carriageway</v>
      </c>
      <c r="AA582">
        <v>60</v>
      </c>
      <c r="AB582">
        <v>-1</v>
      </c>
      <c r="AC582">
        <v>0</v>
      </c>
      <c r="AD582">
        <v>-1</v>
      </c>
      <c r="AE582">
        <v>0</v>
      </c>
      <c r="AF582">
        <v>-1</v>
      </c>
      <c r="AG582">
        <v>-1</v>
      </c>
      <c r="AH582">
        <v>-1</v>
      </c>
      <c r="AI582">
        <v>0</v>
      </c>
      <c r="AJ582">
        <v>1</v>
      </c>
      <c r="AK582" t="str">
        <f>VLOOKUP(AJ582, Lookups!$B$23:$C$28, 2, FALSE)</f>
        <v>Daylight</v>
      </c>
      <c r="AL582">
        <v>1</v>
      </c>
      <c r="AM582" t="str">
        <f>VLOOKUP(AL582, Lookups!$B$30:$C$39, 2, FALSE)</f>
        <v>Fine / Clear</v>
      </c>
      <c r="AN582">
        <v>1</v>
      </c>
      <c r="AO582" t="str">
        <f>VLOOKUP(AN582, Lookups!$B$41:$C$49, 2, FALSE)</f>
        <v>Dry</v>
      </c>
      <c r="AP582">
        <v>-1</v>
      </c>
      <c r="AQ582">
        <v>-1</v>
      </c>
      <c r="AR582">
        <v>0</v>
      </c>
      <c r="AS582">
        <v>2</v>
      </c>
      <c r="AT582">
        <v>1</v>
      </c>
      <c r="AU582">
        <v>2</v>
      </c>
      <c r="AV582" t="s">
        <v>212</v>
      </c>
      <c r="AW582">
        <v>3</v>
      </c>
      <c r="AX582">
        <v>1</v>
      </c>
      <c r="AY582">
        <v>0</v>
      </c>
      <c r="AZ582">
        <v>1</v>
      </c>
    </row>
    <row r="583" spans="1:52" x14ac:dyDescent="0.35">
      <c r="A583">
        <v>2025221635045</v>
      </c>
      <c r="B583">
        <v>2025</v>
      </c>
      <c r="C583">
        <v>221635045</v>
      </c>
      <c r="D583">
        <v>383634</v>
      </c>
      <c r="E583">
        <v>276387</v>
      </c>
      <c r="F583">
        <v>-2.2418800000000001</v>
      </c>
      <c r="G583">
        <v>52.385260000000002</v>
      </c>
      <c r="H583">
        <v>22</v>
      </c>
      <c r="I583">
        <v>2</v>
      </c>
      <c r="J583" t="str">
        <f>VLOOKUP(I583, Lookups!$B$1:$C$4, 2, FALSE)</f>
        <v>Serious</v>
      </c>
      <c r="K583">
        <v>1</v>
      </c>
      <c r="L583">
        <v>1</v>
      </c>
      <c r="M583" s="1">
        <v>45896</v>
      </c>
      <c r="N583">
        <v>4</v>
      </c>
      <c r="O583" t="str">
        <f>VLOOKUP(N583, Lookups!$B$6:$C$12, 2, FALSE)</f>
        <v>Wednesday</v>
      </c>
      <c r="P583" s="2">
        <v>0.77430555555555558</v>
      </c>
      <c r="Q583">
        <v>-1</v>
      </c>
      <c r="R583" t="s">
        <v>44</v>
      </c>
      <c r="S583" t="s">
        <v>45</v>
      </c>
      <c r="T583" t="s">
        <v>45</v>
      </c>
      <c r="U583">
        <v>3</v>
      </c>
      <c r="V583" t="str">
        <f>VLOOKUP(U583, Lookups!$B$51:$C$57, 2, FALSE)</f>
        <v>A</v>
      </c>
      <c r="W583">
        <v>448</v>
      </c>
      <c r="X583" t="str">
        <f t="shared" si="80"/>
        <v>A448</v>
      </c>
      <c r="Y583">
        <v>6</v>
      </c>
      <c r="Z583" t="str">
        <f>VLOOKUP(Y583, Lookups!$B$14:$C$21, 2, FALSE)</f>
        <v>Single carriageway</v>
      </c>
      <c r="AA583">
        <v>30</v>
      </c>
      <c r="AB583">
        <v>-1</v>
      </c>
      <c r="AC583">
        <v>13</v>
      </c>
      <c r="AD583">
        <v>4</v>
      </c>
      <c r="AE583">
        <v>6</v>
      </c>
      <c r="AF583">
        <v>0</v>
      </c>
      <c r="AG583">
        <v>-1</v>
      </c>
      <c r="AH583">
        <v>-1</v>
      </c>
      <c r="AI583">
        <v>17</v>
      </c>
      <c r="AJ583">
        <v>1</v>
      </c>
      <c r="AK583" t="str">
        <f>VLOOKUP(AJ583, Lookups!$B$23:$C$28, 2, FALSE)</f>
        <v>Daylight</v>
      </c>
      <c r="AL583">
        <v>1</v>
      </c>
      <c r="AM583" t="str">
        <f>VLOOKUP(AL583, Lookups!$B$30:$C$39, 2, FALSE)</f>
        <v>Fine / Clear</v>
      </c>
      <c r="AN583">
        <v>1</v>
      </c>
      <c r="AO583" t="str">
        <f>VLOOKUP(AN583, Lookups!$B$41:$C$49, 2, FALSE)</f>
        <v>Dry</v>
      </c>
      <c r="AP583">
        <v>-1</v>
      </c>
      <c r="AQ583">
        <v>-1</v>
      </c>
      <c r="AR583">
        <v>0</v>
      </c>
      <c r="AS583">
        <v>1</v>
      </c>
      <c r="AT583">
        <v>1</v>
      </c>
      <c r="AU583">
        <v>2</v>
      </c>
      <c r="AV583" t="s">
        <v>152</v>
      </c>
      <c r="AW583">
        <v>7</v>
      </c>
      <c r="AX583">
        <v>1</v>
      </c>
      <c r="AY583">
        <v>1</v>
      </c>
      <c r="AZ583">
        <v>0</v>
      </c>
    </row>
    <row r="584" spans="1:52" x14ac:dyDescent="0.35">
      <c r="A584">
        <v>2025221674850</v>
      </c>
      <c r="B584">
        <v>2025</v>
      </c>
      <c r="C584">
        <v>221674850</v>
      </c>
      <c r="D584">
        <v>382290</v>
      </c>
      <c r="E584">
        <v>253795</v>
      </c>
      <c r="F584">
        <v>-2.26044</v>
      </c>
      <c r="G584">
        <v>52.182119999999998</v>
      </c>
      <c r="H584">
        <v>22</v>
      </c>
      <c r="I584">
        <v>3</v>
      </c>
      <c r="J584" t="str">
        <f>VLOOKUP(I584, Lookups!$B$1:$C$4, 2, FALSE)</f>
        <v>Slight</v>
      </c>
      <c r="K584">
        <v>2</v>
      </c>
      <c r="L584">
        <v>1</v>
      </c>
      <c r="M584" s="1">
        <v>45988</v>
      </c>
      <c r="N584">
        <v>5</v>
      </c>
      <c r="O584" t="str">
        <f>VLOOKUP(N584, Lookups!$B$6:$C$12, 2, FALSE)</f>
        <v>Thursday</v>
      </c>
      <c r="P584" s="2">
        <v>0.72083333333333333</v>
      </c>
      <c r="Q584">
        <v>-1</v>
      </c>
      <c r="R584" t="s">
        <v>60</v>
      </c>
      <c r="S584" t="s">
        <v>45</v>
      </c>
      <c r="T584" t="s">
        <v>45</v>
      </c>
      <c r="U584">
        <v>3</v>
      </c>
      <c r="V584" t="str">
        <f>VLOOKUP(U584, Lookups!$B$51:$C$57, 2, FALSE)</f>
        <v>A</v>
      </c>
      <c r="W584">
        <v>4440</v>
      </c>
      <c r="X584" t="str">
        <f t="shared" si="80"/>
        <v>A4440</v>
      </c>
      <c r="Y584">
        <v>6</v>
      </c>
      <c r="Z584" t="str">
        <f>VLOOKUP(Y584, Lookups!$B$14:$C$21, 2, FALSE)</f>
        <v>Single carriageway</v>
      </c>
      <c r="AA584">
        <v>60</v>
      </c>
      <c r="AB584">
        <v>-1</v>
      </c>
      <c r="AC584">
        <v>0</v>
      </c>
      <c r="AD584">
        <v>-1</v>
      </c>
      <c r="AE584">
        <v>0</v>
      </c>
      <c r="AF584">
        <v>-1</v>
      </c>
      <c r="AG584">
        <v>-1</v>
      </c>
      <c r="AH584">
        <v>-1</v>
      </c>
      <c r="AI584">
        <v>0</v>
      </c>
      <c r="AJ584">
        <v>4</v>
      </c>
      <c r="AK584" t="str">
        <f>VLOOKUP(AJ584, Lookups!$B$23:$C$28, 2, FALSE)</f>
        <v>Darkness (Lit)</v>
      </c>
      <c r="AL584">
        <v>2</v>
      </c>
      <c r="AM584" t="str">
        <f>VLOOKUP(AL584, Lookups!$B$30:$C$39, 2, FALSE)</f>
        <v>Rain</v>
      </c>
      <c r="AN584">
        <v>2</v>
      </c>
      <c r="AO584" t="str">
        <f>VLOOKUP(AN584, Lookups!$B$41:$C$49, 2, FALSE)</f>
        <v>Wet / damp</v>
      </c>
      <c r="AP584">
        <v>-1</v>
      </c>
      <c r="AQ584">
        <v>-1</v>
      </c>
      <c r="AR584">
        <v>0</v>
      </c>
      <c r="AS584">
        <v>1</v>
      </c>
      <c r="AT584">
        <v>1</v>
      </c>
      <c r="AU584">
        <v>2</v>
      </c>
      <c r="AV584" t="s">
        <v>115</v>
      </c>
      <c r="AW584">
        <v>3</v>
      </c>
      <c r="AX584">
        <v>1</v>
      </c>
      <c r="AY584">
        <v>0</v>
      </c>
      <c r="AZ584">
        <v>1</v>
      </c>
    </row>
    <row r="585" spans="1:52" x14ac:dyDescent="0.35">
      <c r="A585">
        <v>2025221547179</v>
      </c>
      <c r="B585">
        <v>2025</v>
      </c>
      <c r="C585">
        <v>221547179</v>
      </c>
      <c r="D585">
        <v>384118</v>
      </c>
      <c r="E585">
        <v>276275</v>
      </c>
      <c r="F585">
        <v>-2.2347700000000001</v>
      </c>
      <c r="G585">
        <v>52.384270000000001</v>
      </c>
      <c r="H585">
        <v>22</v>
      </c>
      <c r="I585">
        <v>3</v>
      </c>
      <c r="J585" t="str">
        <f>VLOOKUP(I585, Lookups!$B$1:$C$4, 2, FALSE)</f>
        <v>Slight</v>
      </c>
      <c r="K585">
        <v>2</v>
      </c>
      <c r="L585">
        <v>1</v>
      </c>
      <c r="M585" s="1">
        <v>45682</v>
      </c>
      <c r="N585">
        <v>7</v>
      </c>
      <c r="O585" t="str">
        <f>VLOOKUP(N585, Lookups!$B$6:$C$12, 2, FALSE)</f>
        <v>Saturday</v>
      </c>
      <c r="P585" s="2">
        <v>0.58333333333333337</v>
      </c>
      <c r="Q585">
        <v>-1</v>
      </c>
      <c r="R585" t="s">
        <v>44</v>
      </c>
      <c r="S585" t="s">
        <v>45</v>
      </c>
      <c r="T585" t="s">
        <v>45</v>
      </c>
      <c r="U585">
        <v>3</v>
      </c>
      <c r="V585" t="str">
        <f>VLOOKUP(U585, Lookups!$B$51:$C$57, 2, FALSE)</f>
        <v>A</v>
      </c>
      <c r="W585">
        <v>448</v>
      </c>
      <c r="X585" t="str">
        <f t="shared" si="80"/>
        <v>A448</v>
      </c>
      <c r="Y585">
        <v>6</v>
      </c>
      <c r="Z585" t="str">
        <f>VLOOKUP(Y585, Lookups!$B$14:$C$21, 2, FALSE)</f>
        <v>Single carriageway</v>
      </c>
      <c r="AA585">
        <v>30</v>
      </c>
      <c r="AB585">
        <v>-1</v>
      </c>
      <c r="AC585">
        <v>16</v>
      </c>
      <c r="AD585">
        <v>2</v>
      </c>
      <c r="AE585">
        <v>3</v>
      </c>
      <c r="AF585">
        <v>449</v>
      </c>
      <c r="AG585">
        <v>-1</v>
      </c>
      <c r="AH585">
        <v>-1</v>
      </c>
      <c r="AI585">
        <v>15</v>
      </c>
      <c r="AJ585">
        <v>1</v>
      </c>
      <c r="AK585" t="str">
        <f>VLOOKUP(AJ585, Lookups!$B$23:$C$28, 2, FALSE)</f>
        <v>Daylight</v>
      </c>
      <c r="AL585">
        <v>1</v>
      </c>
      <c r="AM585" t="str">
        <f>VLOOKUP(AL585, Lookups!$B$30:$C$39, 2, FALSE)</f>
        <v>Fine / Clear</v>
      </c>
      <c r="AN585">
        <v>1</v>
      </c>
      <c r="AO585" t="str">
        <f>VLOOKUP(AN585, Lookups!$B$41:$C$49, 2, FALSE)</f>
        <v>Dry</v>
      </c>
      <c r="AP585">
        <v>-1</v>
      </c>
      <c r="AQ585">
        <v>-1</v>
      </c>
      <c r="AR585">
        <v>0</v>
      </c>
      <c r="AS585">
        <v>1</v>
      </c>
      <c r="AT585">
        <v>1</v>
      </c>
      <c r="AU585">
        <v>2</v>
      </c>
      <c r="AV585" t="s">
        <v>213</v>
      </c>
      <c r="AW585">
        <v>3</v>
      </c>
      <c r="AX585">
        <v>1</v>
      </c>
      <c r="AY585">
        <v>0</v>
      </c>
      <c r="AZ585">
        <v>1</v>
      </c>
    </row>
    <row r="586" spans="1:52" x14ac:dyDescent="0.35">
      <c r="A586">
        <v>2025221571305</v>
      </c>
      <c r="B586">
        <v>2025</v>
      </c>
      <c r="C586">
        <v>221571305</v>
      </c>
      <c r="D586">
        <v>410322</v>
      </c>
      <c r="E586">
        <v>277902</v>
      </c>
      <c r="F586">
        <v>-1.84972</v>
      </c>
      <c r="G586">
        <v>52.399039999999999</v>
      </c>
      <c r="H586">
        <v>22</v>
      </c>
      <c r="I586">
        <v>3</v>
      </c>
      <c r="J586" t="str">
        <f>VLOOKUP(I586, Lookups!$B$1:$C$4, 2, FALSE)</f>
        <v>Slight</v>
      </c>
      <c r="K586">
        <v>1</v>
      </c>
      <c r="L586">
        <v>1</v>
      </c>
      <c r="M586" s="1">
        <v>45746</v>
      </c>
      <c r="N586">
        <v>1</v>
      </c>
      <c r="O586" t="str">
        <f>VLOOKUP(N586, Lookups!$B$6:$C$12, 2, FALSE)</f>
        <v>Sunday</v>
      </c>
      <c r="P586" s="2">
        <v>0.43402777777777779</v>
      </c>
      <c r="Q586">
        <v>-1</v>
      </c>
      <c r="R586" t="s">
        <v>47</v>
      </c>
      <c r="S586" t="s">
        <v>45</v>
      </c>
      <c r="T586" t="s">
        <v>45</v>
      </c>
      <c r="U586">
        <v>6</v>
      </c>
      <c r="V586" t="str">
        <f>VLOOKUP(U586, Lookups!$B$51:$C$57, 2, FALSE)</f>
        <v>Unclassified</v>
      </c>
      <c r="W586">
        <v>0</v>
      </c>
      <c r="X586" t="s">
        <v>362</v>
      </c>
      <c r="Y586">
        <v>6</v>
      </c>
      <c r="Z586" t="str">
        <f>VLOOKUP(Y586, Lookups!$B$14:$C$21, 2, FALSE)</f>
        <v>Single carriageway</v>
      </c>
      <c r="AA586">
        <v>30</v>
      </c>
      <c r="AB586">
        <v>-1</v>
      </c>
      <c r="AC586">
        <v>0</v>
      </c>
      <c r="AD586">
        <v>-1</v>
      </c>
      <c r="AE586">
        <v>6</v>
      </c>
      <c r="AF586">
        <v>0</v>
      </c>
      <c r="AG586">
        <v>-1</v>
      </c>
      <c r="AH586">
        <v>-1</v>
      </c>
      <c r="AI586">
        <v>0</v>
      </c>
      <c r="AJ586">
        <v>1</v>
      </c>
      <c r="AK586" t="str">
        <f>VLOOKUP(AJ586, Lookups!$B$23:$C$28, 2, FALSE)</f>
        <v>Daylight</v>
      </c>
      <c r="AL586">
        <v>1</v>
      </c>
      <c r="AM586" t="str">
        <f>VLOOKUP(AL586, Lookups!$B$30:$C$39, 2, FALSE)</f>
        <v>Fine / Clear</v>
      </c>
      <c r="AN586">
        <v>1</v>
      </c>
      <c r="AO586" t="str">
        <f>VLOOKUP(AN586, Lookups!$B$41:$C$49, 2, FALSE)</f>
        <v>Dry</v>
      </c>
      <c r="AP586">
        <v>-1</v>
      </c>
      <c r="AQ586">
        <v>-1</v>
      </c>
      <c r="AR586">
        <v>0</v>
      </c>
      <c r="AS586">
        <v>2</v>
      </c>
      <c r="AT586">
        <v>1</v>
      </c>
      <c r="AU586">
        <v>2</v>
      </c>
      <c r="AV586" t="s">
        <v>292</v>
      </c>
      <c r="AW586">
        <v>3</v>
      </c>
      <c r="AX586">
        <v>1</v>
      </c>
      <c r="AY586">
        <v>0</v>
      </c>
      <c r="AZ586">
        <v>1</v>
      </c>
    </row>
    <row r="587" spans="1:52" x14ac:dyDescent="0.35">
      <c r="A587">
        <v>2025221662300</v>
      </c>
      <c r="B587">
        <v>2025</v>
      </c>
      <c r="C587">
        <v>221662300</v>
      </c>
      <c r="D587">
        <v>387227</v>
      </c>
      <c r="E587">
        <v>253440</v>
      </c>
      <c r="F587">
        <v>-2.1882199999999998</v>
      </c>
      <c r="G587">
        <v>52.17906</v>
      </c>
      <c r="H587">
        <v>22</v>
      </c>
      <c r="I587">
        <v>3</v>
      </c>
      <c r="J587" t="str">
        <f>VLOOKUP(I587, Lookups!$B$1:$C$4, 2, FALSE)</f>
        <v>Slight</v>
      </c>
      <c r="K587">
        <v>2</v>
      </c>
      <c r="L587">
        <v>1</v>
      </c>
      <c r="M587" s="1">
        <v>45962</v>
      </c>
      <c r="N587">
        <v>7</v>
      </c>
      <c r="O587" t="str">
        <f>VLOOKUP(N587, Lookups!$B$6:$C$12, 2, FALSE)</f>
        <v>Saturday</v>
      </c>
      <c r="P587" s="2">
        <v>0.61597222222222225</v>
      </c>
      <c r="Q587">
        <v>-1</v>
      </c>
      <c r="R587" t="s">
        <v>60</v>
      </c>
      <c r="S587" t="s">
        <v>45</v>
      </c>
      <c r="T587" t="s">
        <v>45</v>
      </c>
      <c r="U587">
        <v>3</v>
      </c>
      <c r="V587" t="str">
        <f>VLOOKUP(U587, Lookups!$B$51:$C$57, 2, FALSE)</f>
        <v>A</v>
      </c>
      <c r="W587">
        <v>44</v>
      </c>
      <c r="X587" t="str">
        <f t="shared" ref="X587:X592" si="81">V587&amp;W587</f>
        <v>A44</v>
      </c>
      <c r="Y587">
        <v>3</v>
      </c>
      <c r="Z587" t="str">
        <f>VLOOKUP(Y587, Lookups!$B$14:$C$21, 2, FALSE)</f>
        <v>Dual carriageway</v>
      </c>
      <c r="AA587">
        <v>40</v>
      </c>
      <c r="AB587">
        <v>-1</v>
      </c>
      <c r="AC587">
        <v>0</v>
      </c>
      <c r="AD587">
        <v>-1</v>
      </c>
      <c r="AE587">
        <v>0</v>
      </c>
      <c r="AF587">
        <v>-1</v>
      </c>
      <c r="AG587">
        <v>-1</v>
      </c>
      <c r="AH587">
        <v>-1</v>
      </c>
      <c r="AI587">
        <v>0</v>
      </c>
      <c r="AJ587">
        <v>1</v>
      </c>
      <c r="AK587" t="str">
        <f>VLOOKUP(AJ587, Lookups!$B$23:$C$28, 2, FALSE)</f>
        <v>Daylight</v>
      </c>
      <c r="AL587">
        <v>1</v>
      </c>
      <c r="AM587" t="str">
        <f>VLOOKUP(AL587, Lookups!$B$30:$C$39, 2, FALSE)</f>
        <v>Fine / Clear</v>
      </c>
      <c r="AN587">
        <v>2</v>
      </c>
      <c r="AO587" t="str">
        <f>VLOOKUP(AN587, Lookups!$B$41:$C$49, 2, FALSE)</f>
        <v>Wet / damp</v>
      </c>
      <c r="AP587">
        <v>-1</v>
      </c>
      <c r="AQ587">
        <v>-1</v>
      </c>
      <c r="AR587">
        <v>0</v>
      </c>
      <c r="AS587">
        <v>2</v>
      </c>
      <c r="AT587">
        <v>1</v>
      </c>
      <c r="AU587">
        <v>2</v>
      </c>
      <c r="AV587" t="s">
        <v>214</v>
      </c>
      <c r="AW587">
        <v>3</v>
      </c>
      <c r="AX587">
        <v>1</v>
      </c>
      <c r="AY587">
        <v>0</v>
      </c>
      <c r="AZ587">
        <v>1</v>
      </c>
    </row>
    <row r="588" spans="1:52" x14ac:dyDescent="0.35">
      <c r="A588">
        <v>2025221596093</v>
      </c>
      <c r="B588">
        <v>2025</v>
      </c>
      <c r="C588">
        <v>221596093</v>
      </c>
      <c r="D588">
        <v>389483</v>
      </c>
      <c r="E588">
        <v>257532</v>
      </c>
      <c r="F588">
        <v>-2.1553499999999999</v>
      </c>
      <c r="G588">
        <v>52.215899999999998</v>
      </c>
      <c r="H588">
        <v>22</v>
      </c>
      <c r="I588">
        <v>3</v>
      </c>
      <c r="J588" t="str">
        <f>VLOOKUP(I588, Lookups!$B$1:$C$4, 2, FALSE)</f>
        <v>Slight</v>
      </c>
      <c r="K588">
        <v>3</v>
      </c>
      <c r="L588">
        <v>3</v>
      </c>
      <c r="M588" s="1">
        <v>45800</v>
      </c>
      <c r="N588">
        <v>6</v>
      </c>
      <c r="O588" t="str">
        <f>VLOOKUP(N588, Lookups!$B$6:$C$12, 2, FALSE)</f>
        <v>Friday</v>
      </c>
      <c r="P588" s="2">
        <v>0.46180555555555558</v>
      </c>
      <c r="Q588">
        <v>-1</v>
      </c>
      <c r="R588" t="s">
        <v>54</v>
      </c>
      <c r="S588" t="s">
        <v>45</v>
      </c>
      <c r="T588" t="s">
        <v>45</v>
      </c>
      <c r="U588">
        <v>1</v>
      </c>
      <c r="V588" t="str">
        <f>VLOOKUP(U588, Lookups!$B$51:$C$57, 2, FALSE)</f>
        <v>M</v>
      </c>
      <c r="W588">
        <v>5</v>
      </c>
      <c r="X588" t="str">
        <f t="shared" si="81"/>
        <v>M5</v>
      </c>
      <c r="Y588">
        <v>7</v>
      </c>
      <c r="Z588" t="str">
        <f>VLOOKUP(Y588, Lookups!$B$14:$C$21, 2, FALSE)</f>
        <v>Slip road</v>
      </c>
      <c r="AA588">
        <v>70</v>
      </c>
      <c r="AB588">
        <v>-1</v>
      </c>
      <c r="AC588">
        <v>-1</v>
      </c>
      <c r="AD588">
        <v>4</v>
      </c>
      <c r="AE588">
        <v>1</v>
      </c>
      <c r="AF588">
        <v>5</v>
      </c>
      <c r="AG588">
        <v>-1</v>
      </c>
      <c r="AH588">
        <v>-1</v>
      </c>
      <c r="AI588">
        <v>0</v>
      </c>
      <c r="AJ588">
        <v>1</v>
      </c>
      <c r="AK588" t="str">
        <f>VLOOKUP(AJ588, Lookups!$B$23:$C$28, 2, FALSE)</f>
        <v>Daylight</v>
      </c>
      <c r="AL588">
        <v>1</v>
      </c>
      <c r="AM588" t="str">
        <f>VLOOKUP(AL588, Lookups!$B$30:$C$39, 2, FALSE)</f>
        <v>Fine / Clear</v>
      </c>
      <c r="AN588">
        <v>1</v>
      </c>
      <c r="AO588" t="str">
        <f>VLOOKUP(AN588, Lookups!$B$41:$C$49, 2, FALSE)</f>
        <v>Dry</v>
      </c>
      <c r="AP588">
        <v>-1</v>
      </c>
      <c r="AQ588">
        <v>-1</v>
      </c>
      <c r="AR588">
        <v>0</v>
      </c>
      <c r="AS588">
        <v>2</v>
      </c>
      <c r="AT588">
        <v>1</v>
      </c>
      <c r="AU588">
        <v>1</v>
      </c>
      <c r="AV588" t="s">
        <v>107</v>
      </c>
      <c r="AW588">
        <v>3</v>
      </c>
      <c r="AX588">
        <v>1</v>
      </c>
      <c r="AY588">
        <v>0</v>
      </c>
      <c r="AZ588">
        <v>1</v>
      </c>
    </row>
    <row r="589" spans="1:52" x14ac:dyDescent="0.35">
      <c r="A589">
        <v>2025221597720</v>
      </c>
      <c r="B589">
        <v>2025</v>
      </c>
      <c r="C589">
        <v>221597720</v>
      </c>
      <c r="D589">
        <v>407228</v>
      </c>
      <c r="E589">
        <v>243632</v>
      </c>
      <c r="F589">
        <v>-1.89592</v>
      </c>
      <c r="G589">
        <v>52.090989999999998</v>
      </c>
      <c r="H589">
        <v>22</v>
      </c>
      <c r="I589">
        <v>2</v>
      </c>
      <c r="J589" t="str">
        <f>VLOOKUP(I589, Lookups!$B$1:$C$4, 2, FALSE)</f>
        <v>Serious</v>
      </c>
      <c r="K589">
        <v>2</v>
      </c>
      <c r="L589">
        <v>1</v>
      </c>
      <c r="M589" s="1">
        <v>45809</v>
      </c>
      <c r="N589">
        <v>1</v>
      </c>
      <c r="O589" t="str">
        <f>VLOOKUP(N589, Lookups!$B$6:$C$12, 2, FALSE)</f>
        <v>Sunday</v>
      </c>
      <c r="P589" s="2">
        <v>0.7270833333333333</v>
      </c>
      <c r="Q589">
        <v>-1</v>
      </c>
      <c r="R589" t="s">
        <v>54</v>
      </c>
      <c r="S589" t="s">
        <v>45</v>
      </c>
      <c r="T589" t="s">
        <v>45</v>
      </c>
      <c r="U589">
        <v>4</v>
      </c>
      <c r="V589" t="str">
        <f>VLOOKUP(U589, Lookups!$B$51:$C$57, 2, FALSE)</f>
        <v>B</v>
      </c>
      <c r="W589">
        <v>4035</v>
      </c>
      <c r="X589" t="str">
        <f t="shared" si="81"/>
        <v>B4035</v>
      </c>
      <c r="Y589">
        <v>6</v>
      </c>
      <c r="Z589" t="str">
        <f>VLOOKUP(Y589, Lookups!$B$14:$C$21, 2, FALSE)</f>
        <v>Single carriageway</v>
      </c>
      <c r="AA589">
        <v>30</v>
      </c>
      <c r="AB589">
        <v>-1</v>
      </c>
      <c r="AC589">
        <v>0</v>
      </c>
      <c r="AD589">
        <v>-1</v>
      </c>
      <c r="AE589">
        <v>6</v>
      </c>
      <c r="AF589">
        <v>0</v>
      </c>
      <c r="AG589">
        <v>-1</v>
      </c>
      <c r="AH589">
        <v>-1</v>
      </c>
      <c r="AI589">
        <v>0</v>
      </c>
      <c r="AJ589">
        <v>1</v>
      </c>
      <c r="AK589" t="str">
        <f>VLOOKUP(AJ589, Lookups!$B$23:$C$28, 2, FALSE)</f>
        <v>Daylight</v>
      </c>
      <c r="AL589">
        <v>1</v>
      </c>
      <c r="AM589" t="str">
        <f>VLOOKUP(AL589, Lookups!$B$30:$C$39, 2, FALSE)</f>
        <v>Fine / Clear</v>
      </c>
      <c r="AN589">
        <v>1</v>
      </c>
      <c r="AO589" t="str">
        <f>VLOOKUP(AN589, Lookups!$B$41:$C$49, 2, FALSE)</f>
        <v>Dry</v>
      </c>
      <c r="AP589">
        <v>-1</v>
      </c>
      <c r="AQ589">
        <v>-1</v>
      </c>
      <c r="AR589">
        <v>0</v>
      </c>
      <c r="AS589">
        <v>2</v>
      </c>
      <c r="AT589">
        <v>1</v>
      </c>
      <c r="AU589">
        <v>2</v>
      </c>
      <c r="AV589" t="s">
        <v>293</v>
      </c>
      <c r="AW589">
        <v>6</v>
      </c>
      <c r="AX589">
        <v>1</v>
      </c>
      <c r="AY589">
        <v>1</v>
      </c>
      <c r="AZ589">
        <v>0</v>
      </c>
    </row>
    <row r="590" spans="1:52" x14ac:dyDescent="0.35">
      <c r="A590">
        <v>2025221642144</v>
      </c>
      <c r="B590">
        <v>2025</v>
      </c>
      <c r="C590">
        <v>221642144</v>
      </c>
      <c r="D590">
        <v>382450</v>
      </c>
      <c r="E590">
        <v>274671</v>
      </c>
      <c r="F590">
        <v>-2.2591899999999998</v>
      </c>
      <c r="G590">
        <v>52.369799999999998</v>
      </c>
      <c r="H590">
        <v>22</v>
      </c>
      <c r="I590">
        <v>3</v>
      </c>
      <c r="J590" t="str">
        <f>VLOOKUP(I590, Lookups!$B$1:$C$4, 2, FALSE)</f>
        <v>Slight</v>
      </c>
      <c r="K590">
        <v>2</v>
      </c>
      <c r="L590">
        <v>1</v>
      </c>
      <c r="M590" s="1">
        <v>45905</v>
      </c>
      <c r="N590">
        <v>6</v>
      </c>
      <c r="O590" t="str">
        <f>VLOOKUP(N590, Lookups!$B$6:$C$12, 2, FALSE)</f>
        <v>Friday</v>
      </c>
      <c r="P590" s="2">
        <v>0.47013888888888888</v>
      </c>
      <c r="Q590">
        <v>-1</v>
      </c>
      <c r="R590" t="s">
        <v>44</v>
      </c>
      <c r="S590" t="s">
        <v>45</v>
      </c>
      <c r="T590" t="s">
        <v>45</v>
      </c>
      <c r="U590">
        <v>3</v>
      </c>
      <c r="V590" t="str">
        <f>VLOOKUP(U590, Lookups!$B$51:$C$57, 2, FALSE)</f>
        <v>A</v>
      </c>
      <c r="W590">
        <v>4420</v>
      </c>
      <c r="X590" t="str">
        <f t="shared" si="81"/>
        <v>A4420</v>
      </c>
      <c r="Y590">
        <v>6</v>
      </c>
      <c r="Z590" t="str">
        <f>VLOOKUP(Y590, Lookups!$B$14:$C$21, 2, FALSE)</f>
        <v>Single carriageway</v>
      </c>
      <c r="AA590">
        <v>30</v>
      </c>
      <c r="AB590">
        <v>-1</v>
      </c>
      <c r="AC590">
        <v>19</v>
      </c>
      <c r="AD590">
        <v>4</v>
      </c>
      <c r="AE590">
        <v>6</v>
      </c>
      <c r="AF590">
        <v>0</v>
      </c>
      <c r="AG590">
        <v>-1</v>
      </c>
      <c r="AH590">
        <v>-1</v>
      </c>
      <c r="AI590">
        <v>0</v>
      </c>
      <c r="AJ590">
        <v>1</v>
      </c>
      <c r="AK590" t="str">
        <f>VLOOKUP(AJ590, Lookups!$B$23:$C$28, 2, FALSE)</f>
        <v>Daylight</v>
      </c>
      <c r="AL590">
        <v>1</v>
      </c>
      <c r="AM590" t="str">
        <f>VLOOKUP(AL590, Lookups!$B$30:$C$39, 2, FALSE)</f>
        <v>Fine / Clear</v>
      </c>
      <c r="AN590">
        <v>1</v>
      </c>
      <c r="AO590" t="str">
        <f>VLOOKUP(AN590, Lookups!$B$41:$C$49, 2, FALSE)</f>
        <v>Dry</v>
      </c>
      <c r="AP590">
        <v>-1</v>
      </c>
      <c r="AQ590">
        <v>-1</v>
      </c>
      <c r="AR590">
        <v>0</v>
      </c>
      <c r="AS590">
        <v>2</v>
      </c>
      <c r="AT590">
        <v>1</v>
      </c>
      <c r="AU590">
        <v>2</v>
      </c>
      <c r="AV590" t="s">
        <v>59</v>
      </c>
      <c r="AW590">
        <v>3</v>
      </c>
      <c r="AX590">
        <v>1</v>
      </c>
      <c r="AY590">
        <v>0</v>
      </c>
      <c r="AZ590">
        <v>1</v>
      </c>
    </row>
    <row r="591" spans="1:52" x14ac:dyDescent="0.35">
      <c r="A591">
        <v>2025221643817</v>
      </c>
      <c r="B591">
        <v>2025</v>
      </c>
      <c r="C591">
        <v>221643817</v>
      </c>
      <c r="D591">
        <v>389901</v>
      </c>
      <c r="E591">
        <v>279606</v>
      </c>
      <c r="F591">
        <v>-2.1499000000000001</v>
      </c>
      <c r="G591">
        <v>52.414360000000002</v>
      </c>
      <c r="H591">
        <v>22</v>
      </c>
      <c r="I591">
        <v>3</v>
      </c>
      <c r="J591" t="str">
        <f>VLOOKUP(I591, Lookups!$B$1:$C$4, 2, FALSE)</f>
        <v>Slight</v>
      </c>
      <c r="K591">
        <v>2</v>
      </c>
      <c r="L591">
        <v>1</v>
      </c>
      <c r="M591" s="1">
        <v>45911</v>
      </c>
      <c r="N591">
        <v>5</v>
      </c>
      <c r="O591" t="str">
        <f>VLOOKUP(N591, Lookups!$B$6:$C$12, 2, FALSE)</f>
        <v>Thursday</v>
      </c>
      <c r="P591" s="2">
        <v>0.77500000000000002</v>
      </c>
      <c r="Q591">
        <v>-1</v>
      </c>
      <c r="R591" t="s">
        <v>47</v>
      </c>
      <c r="S591" t="s">
        <v>45</v>
      </c>
      <c r="T591" t="s">
        <v>45</v>
      </c>
      <c r="U591">
        <v>3</v>
      </c>
      <c r="V591" t="str">
        <f>VLOOKUP(U591, Lookups!$B$51:$C$57, 2, FALSE)</f>
        <v>A</v>
      </c>
      <c r="W591">
        <v>456</v>
      </c>
      <c r="X591" t="str">
        <f t="shared" si="81"/>
        <v>A456</v>
      </c>
      <c r="Y591">
        <v>6</v>
      </c>
      <c r="Z591" t="str">
        <f>VLOOKUP(Y591, Lookups!$B$14:$C$21, 2, FALSE)</f>
        <v>Single carriageway</v>
      </c>
      <c r="AA591">
        <v>40</v>
      </c>
      <c r="AB591">
        <v>-1</v>
      </c>
      <c r="AC591">
        <v>13</v>
      </c>
      <c r="AD591">
        <v>2</v>
      </c>
      <c r="AE591">
        <v>3</v>
      </c>
      <c r="AF591">
        <v>456</v>
      </c>
      <c r="AG591">
        <v>-1</v>
      </c>
      <c r="AH591">
        <v>-1</v>
      </c>
      <c r="AI591">
        <v>0</v>
      </c>
      <c r="AJ591">
        <v>1</v>
      </c>
      <c r="AK591" t="str">
        <f>VLOOKUP(AJ591, Lookups!$B$23:$C$28, 2, FALSE)</f>
        <v>Daylight</v>
      </c>
      <c r="AL591">
        <v>1</v>
      </c>
      <c r="AM591" t="str">
        <f>VLOOKUP(AL591, Lookups!$B$30:$C$39, 2, FALSE)</f>
        <v>Fine / Clear</v>
      </c>
      <c r="AN591">
        <v>1</v>
      </c>
      <c r="AO591" t="str">
        <f>VLOOKUP(AN591, Lookups!$B$41:$C$49, 2, FALSE)</f>
        <v>Dry</v>
      </c>
      <c r="AP591">
        <v>-1</v>
      </c>
      <c r="AQ591">
        <v>-1</v>
      </c>
      <c r="AR591">
        <v>0</v>
      </c>
      <c r="AS591">
        <v>1</v>
      </c>
      <c r="AT591">
        <v>1</v>
      </c>
      <c r="AU591">
        <v>2</v>
      </c>
      <c r="AV591" t="s">
        <v>185</v>
      </c>
      <c r="AW591">
        <v>3</v>
      </c>
      <c r="AX591">
        <v>1</v>
      </c>
      <c r="AY591">
        <v>0</v>
      </c>
      <c r="AZ591">
        <v>1</v>
      </c>
    </row>
    <row r="592" spans="1:52" x14ac:dyDescent="0.35">
      <c r="A592">
        <v>2025221678116</v>
      </c>
      <c r="B592">
        <v>2025</v>
      </c>
      <c r="C592">
        <v>221678116</v>
      </c>
      <c r="D592">
        <v>389812</v>
      </c>
      <c r="E592">
        <v>257999</v>
      </c>
      <c r="F592">
        <v>-2.15055</v>
      </c>
      <c r="G592">
        <v>52.220100000000002</v>
      </c>
      <c r="H592">
        <v>22</v>
      </c>
      <c r="I592">
        <v>3</v>
      </c>
      <c r="J592" t="str">
        <f>VLOOKUP(I592, Lookups!$B$1:$C$4, 2, FALSE)</f>
        <v>Slight</v>
      </c>
      <c r="K592">
        <v>3</v>
      </c>
      <c r="L592">
        <v>1</v>
      </c>
      <c r="M592" s="1">
        <v>45939</v>
      </c>
      <c r="N592">
        <v>5</v>
      </c>
      <c r="O592" t="str">
        <f>VLOOKUP(N592, Lookups!$B$6:$C$12, 2, FALSE)</f>
        <v>Thursday</v>
      </c>
      <c r="P592" s="2">
        <v>0.57986111111111116</v>
      </c>
      <c r="Q592">
        <v>-1</v>
      </c>
      <c r="R592" t="s">
        <v>54</v>
      </c>
      <c r="S592" t="s">
        <v>45</v>
      </c>
      <c r="T592" t="s">
        <v>45</v>
      </c>
      <c r="U592">
        <v>1</v>
      </c>
      <c r="V592" t="str">
        <f>VLOOKUP(U592, Lookups!$B$51:$C$57, 2, FALSE)</f>
        <v>M</v>
      </c>
      <c r="W592">
        <v>5</v>
      </c>
      <c r="X592" t="str">
        <f t="shared" si="81"/>
        <v>M5</v>
      </c>
      <c r="Y592">
        <v>3</v>
      </c>
      <c r="Z592" t="str">
        <f>VLOOKUP(Y592, Lookups!$B$14:$C$21, 2, FALSE)</f>
        <v>Dual carriageway</v>
      </c>
      <c r="AA592">
        <v>70</v>
      </c>
      <c r="AB592">
        <v>-1</v>
      </c>
      <c r="AC592">
        <v>0</v>
      </c>
      <c r="AD592">
        <v>-1</v>
      </c>
      <c r="AE592">
        <v>0</v>
      </c>
      <c r="AF592">
        <v>-1</v>
      </c>
      <c r="AG592">
        <v>-1</v>
      </c>
      <c r="AH592">
        <v>-1</v>
      </c>
      <c r="AI592">
        <v>0</v>
      </c>
      <c r="AJ592">
        <v>1</v>
      </c>
      <c r="AK592" t="str">
        <f>VLOOKUP(AJ592, Lookups!$B$23:$C$28, 2, FALSE)</f>
        <v>Daylight</v>
      </c>
      <c r="AL592">
        <v>1</v>
      </c>
      <c r="AM592" t="str">
        <f>VLOOKUP(AL592, Lookups!$B$30:$C$39, 2, FALSE)</f>
        <v>Fine / Clear</v>
      </c>
      <c r="AN592">
        <v>1</v>
      </c>
      <c r="AO592" t="str">
        <f>VLOOKUP(AN592, Lookups!$B$41:$C$49, 2, FALSE)</f>
        <v>Dry</v>
      </c>
      <c r="AP592">
        <v>-1</v>
      </c>
      <c r="AQ592">
        <v>-1</v>
      </c>
      <c r="AR592">
        <v>0</v>
      </c>
      <c r="AS592">
        <v>2</v>
      </c>
      <c r="AT592">
        <v>1</v>
      </c>
      <c r="AU592">
        <v>1</v>
      </c>
      <c r="AV592" t="s">
        <v>107</v>
      </c>
      <c r="AW592">
        <v>3</v>
      </c>
      <c r="AX592">
        <v>1</v>
      </c>
      <c r="AY592">
        <v>0</v>
      </c>
      <c r="AZ592">
        <v>1</v>
      </c>
    </row>
    <row r="593" spans="1:52" x14ac:dyDescent="0.35">
      <c r="A593">
        <v>2025221673177</v>
      </c>
      <c r="B593">
        <v>2025</v>
      </c>
      <c r="C593">
        <v>221673177</v>
      </c>
      <c r="D593">
        <v>404234</v>
      </c>
      <c r="E593">
        <v>242436</v>
      </c>
      <c r="F593">
        <v>-1.93963</v>
      </c>
      <c r="G593">
        <v>52.080269999999999</v>
      </c>
      <c r="H593">
        <v>22</v>
      </c>
      <c r="I593">
        <v>3</v>
      </c>
      <c r="J593" t="str">
        <f>VLOOKUP(I593, Lookups!$B$1:$C$4, 2, FALSE)</f>
        <v>Slight</v>
      </c>
      <c r="K593">
        <v>2</v>
      </c>
      <c r="L593">
        <v>1</v>
      </c>
      <c r="M593" s="1">
        <v>45982</v>
      </c>
      <c r="N593">
        <v>6</v>
      </c>
      <c r="O593" t="str">
        <f>VLOOKUP(N593, Lookups!$B$6:$C$12, 2, FALSE)</f>
        <v>Friday</v>
      </c>
      <c r="P593" s="2">
        <v>0.94097222222222221</v>
      </c>
      <c r="Q593">
        <v>-1</v>
      </c>
      <c r="R593" t="s">
        <v>54</v>
      </c>
      <c r="S593" t="s">
        <v>45</v>
      </c>
      <c r="T593" t="s">
        <v>45</v>
      </c>
      <c r="U593">
        <v>6</v>
      </c>
      <c r="V593" t="str">
        <f>VLOOKUP(U593, Lookups!$B$51:$C$57, 2, FALSE)</f>
        <v>Unclassified</v>
      </c>
      <c r="W593">
        <v>0</v>
      </c>
      <c r="X593" t="s">
        <v>362</v>
      </c>
      <c r="Y593">
        <v>6</v>
      </c>
      <c r="Z593" t="str">
        <f>VLOOKUP(Y593, Lookups!$B$14:$C$21, 2, FALSE)</f>
        <v>Single carriageway</v>
      </c>
      <c r="AA593">
        <v>30</v>
      </c>
      <c r="AB593">
        <v>-1</v>
      </c>
      <c r="AC593">
        <v>13</v>
      </c>
      <c r="AD593">
        <v>4</v>
      </c>
      <c r="AE593">
        <v>6</v>
      </c>
      <c r="AF593">
        <v>0</v>
      </c>
      <c r="AG593">
        <v>-1</v>
      </c>
      <c r="AH593">
        <v>-1</v>
      </c>
      <c r="AI593">
        <v>0</v>
      </c>
      <c r="AJ593">
        <v>4</v>
      </c>
      <c r="AK593" t="str">
        <f>VLOOKUP(AJ593, Lookups!$B$23:$C$28, 2, FALSE)</f>
        <v>Darkness (Lit)</v>
      </c>
      <c r="AL593">
        <v>1</v>
      </c>
      <c r="AM593" t="str">
        <f>VLOOKUP(AL593, Lookups!$B$30:$C$39, 2, FALSE)</f>
        <v>Fine / Clear</v>
      </c>
      <c r="AN593">
        <v>1</v>
      </c>
      <c r="AO593" t="str">
        <f>VLOOKUP(AN593, Lookups!$B$41:$C$49, 2, FALSE)</f>
        <v>Dry</v>
      </c>
      <c r="AP593">
        <v>-1</v>
      </c>
      <c r="AQ593">
        <v>-1</v>
      </c>
      <c r="AR593">
        <v>0</v>
      </c>
      <c r="AS593">
        <v>1</v>
      </c>
      <c r="AT593">
        <v>3</v>
      </c>
      <c r="AU593">
        <v>2</v>
      </c>
      <c r="AV593" t="s">
        <v>294</v>
      </c>
      <c r="AW593">
        <v>3</v>
      </c>
      <c r="AX593">
        <v>1</v>
      </c>
      <c r="AY593">
        <v>0</v>
      </c>
      <c r="AZ593">
        <v>1</v>
      </c>
    </row>
    <row r="594" spans="1:52" x14ac:dyDescent="0.35">
      <c r="A594">
        <v>2025221633198</v>
      </c>
      <c r="B594">
        <v>2025</v>
      </c>
      <c r="C594">
        <v>221633198</v>
      </c>
      <c r="D594">
        <v>390791</v>
      </c>
      <c r="E594">
        <v>277494</v>
      </c>
      <c r="F594">
        <v>-2.1367600000000002</v>
      </c>
      <c r="G594">
        <v>52.395389999999999</v>
      </c>
      <c r="H594">
        <v>22</v>
      </c>
      <c r="I594">
        <v>2</v>
      </c>
      <c r="J594" t="str">
        <f>VLOOKUP(I594, Lookups!$B$1:$C$4, 2, FALSE)</f>
        <v>Serious</v>
      </c>
      <c r="K594">
        <v>3</v>
      </c>
      <c r="L594">
        <v>1</v>
      </c>
      <c r="M594" s="1">
        <v>45894</v>
      </c>
      <c r="N594">
        <v>2</v>
      </c>
      <c r="O594" t="str">
        <f>VLOOKUP(N594, Lookups!$B$6:$C$12, 2, FALSE)</f>
        <v>Monday</v>
      </c>
      <c r="P594" s="2">
        <v>0.86805555555555558</v>
      </c>
      <c r="Q594">
        <v>-1</v>
      </c>
      <c r="R594" t="s">
        <v>44</v>
      </c>
      <c r="S594" t="s">
        <v>45</v>
      </c>
      <c r="T594" t="s">
        <v>45</v>
      </c>
      <c r="U594">
        <v>4</v>
      </c>
      <c r="V594" t="str">
        <f>VLOOKUP(U594, Lookups!$B$51:$C$57, 2, FALSE)</f>
        <v>B</v>
      </c>
      <c r="W594">
        <v>4188</v>
      </c>
      <c r="X594" t="str">
        <f>V594&amp;W594</f>
        <v>B4188</v>
      </c>
      <c r="Y594">
        <v>6</v>
      </c>
      <c r="Z594" t="str">
        <f>VLOOKUP(Y594, Lookups!$B$14:$C$21, 2, FALSE)</f>
        <v>Single carriageway</v>
      </c>
      <c r="AA594">
        <v>60</v>
      </c>
      <c r="AB594">
        <v>-1</v>
      </c>
      <c r="AC594">
        <v>0</v>
      </c>
      <c r="AD594">
        <v>-1</v>
      </c>
      <c r="AE594">
        <v>6</v>
      </c>
      <c r="AF594">
        <v>0</v>
      </c>
      <c r="AG594">
        <v>-1</v>
      </c>
      <c r="AH594">
        <v>-1</v>
      </c>
      <c r="AI594">
        <v>0</v>
      </c>
      <c r="AJ594">
        <v>6</v>
      </c>
      <c r="AK594" t="str">
        <f>VLOOKUP(AJ594, Lookups!$B$23:$C$28, 2, FALSE)</f>
        <v>Darkness (Unlit)</v>
      </c>
      <c r="AL594">
        <v>1</v>
      </c>
      <c r="AM594" t="str">
        <f>VLOOKUP(AL594, Lookups!$B$30:$C$39, 2, FALSE)</f>
        <v>Fine / Clear</v>
      </c>
      <c r="AN594">
        <v>1</v>
      </c>
      <c r="AO594" t="str">
        <f>VLOOKUP(AN594, Lookups!$B$41:$C$49, 2, FALSE)</f>
        <v>Dry</v>
      </c>
      <c r="AP594">
        <v>-1</v>
      </c>
      <c r="AQ594">
        <v>-1</v>
      </c>
      <c r="AR594">
        <v>0</v>
      </c>
      <c r="AS594">
        <v>2</v>
      </c>
      <c r="AT594">
        <v>3</v>
      </c>
      <c r="AU594">
        <v>2</v>
      </c>
      <c r="AV594" t="s">
        <v>212</v>
      </c>
      <c r="AW594">
        <v>6</v>
      </c>
      <c r="AX594">
        <v>1</v>
      </c>
      <c r="AY594">
        <v>1</v>
      </c>
      <c r="AZ594">
        <v>0</v>
      </c>
    </row>
    <row r="595" spans="1:52" x14ac:dyDescent="0.35">
      <c r="A595">
        <v>2025221670964</v>
      </c>
      <c r="B595">
        <v>2025</v>
      </c>
      <c r="C595">
        <v>221670964</v>
      </c>
      <c r="D595">
        <v>403968</v>
      </c>
      <c r="E595">
        <v>267639</v>
      </c>
      <c r="F595">
        <v>-1.9432199999999999</v>
      </c>
      <c r="G595">
        <v>52.306849999999997</v>
      </c>
      <c r="H595">
        <v>22</v>
      </c>
      <c r="I595">
        <v>3</v>
      </c>
      <c r="J595" t="str">
        <f>VLOOKUP(I595, Lookups!$B$1:$C$4, 2, FALSE)</f>
        <v>Slight</v>
      </c>
      <c r="K595">
        <v>2</v>
      </c>
      <c r="L595">
        <v>1</v>
      </c>
      <c r="M595" s="1">
        <v>45958</v>
      </c>
      <c r="N595">
        <v>3</v>
      </c>
      <c r="O595" t="str">
        <f>VLOOKUP(N595, Lookups!$B$6:$C$12, 2, FALSE)</f>
        <v>Tuesday</v>
      </c>
      <c r="P595" s="2">
        <v>0.57638888888888884</v>
      </c>
      <c r="Q595">
        <v>-1</v>
      </c>
      <c r="R595" t="s">
        <v>69</v>
      </c>
      <c r="S595" t="s">
        <v>45</v>
      </c>
      <c r="T595" t="s">
        <v>45</v>
      </c>
      <c r="U595">
        <v>6</v>
      </c>
      <c r="V595" t="str">
        <f>VLOOKUP(U595, Lookups!$B$51:$C$57, 2, FALSE)</f>
        <v>Unclassified</v>
      </c>
      <c r="W595">
        <v>0</v>
      </c>
      <c r="X595" t="s">
        <v>362</v>
      </c>
      <c r="Y595">
        <v>6</v>
      </c>
      <c r="Z595" t="str">
        <f>VLOOKUP(Y595, Lookups!$B$14:$C$21, 2, FALSE)</f>
        <v>Single carriageway</v>
      </c>
      <c r="AA595">
        <v>30</v>
      </c>
      <c r="AB595">
        <v>-1</v>
      </c>
      <c r="AC595">
        <v>0</v>
      </c>
      <c r="AD595">
        <v>-1</v>
      </c>
      <c r="AE595">
        <v>0</v>
      </c>
      <c r="AF595">
        <v>-1</v>
      </c>
      <c r="AG595">
        <v>-1</v>
      </c>
      <c r="AH595">
        <v>-1</v>
      </c>
      <c r="AI595">
        <v>0</v>
      </c>
      <c r="AJ595">
        <v>1</v>
      </c>
      <c r="AK595" t="str">
        <f>VLOOKUP(AJ595, Lookups!$B$23:$C$28, 2, FALSE)</f>
        <v>Daylight</v>
      </c>
      <c r="AL595">
        <v>1</v>
      </c>
      <c r="AM595" t="str">
        <f>VLOOKUP(AL595, Lookups!$B$30:$C$39, 2, FALSE)</f>
        <v>Fine / Clear</v>
      </c>
      <c r="AN595">
        <v>1</v>
      </c>
      <c r="AO595" t="str">
        <f>VLOOKUP(AN595, Lookups!$B$41:$C$49, 2, FALSE)</f>
        <v>Dry</v>
      </c>
      <c r="AP595">
        <v>-1</v>
      </c>
      <c r="AQ595">
        <v>-1</v>
      </c>
      <c r="AR595">
        <v>0</v>
      </c>
      <c r="AS595">
        <v>1</v>
      </c>
      <c r="AT595">
        <v>2</v>
      </c>
      <c r="AU595">
        <v>2</v>
      </c>
      <c r="AV595" t="s">
        <v>222</v>
      </c>
      <c r="AW595">
        <v>3</v>
      </c>
      <c r="AX595">
        <v>1</v>
      </c>
      <c r="AY595">
        <v>0</v>
      </c>
      <c r="AZ595">
        <v>1</v>
      </c>
    </row>
    <row r="596" spans="1:52" x14ac:dyDescent="0.35">
      <c r="A596">
        <v>2025221684800</v>
      </c>
      <c r="B596">
        <v>2025</v>
      </c>
      <c r="C596">
        <v>221684800</v>
      </c>
      <c r="D596">
        <v>394772</v>
      </c>
      <c r="E596">
        <v>268471</v>
      </c>
      <c r="F596">
        <v>-2.0781100000000001</v>
      </c>
      <c r="G596">
        <v>52.314320000000002</v>
      </c>
      <c r="H596">
        <v>22</v>
      </c>
      <c r="I596">
        <v>3</v>
      </c>
      <c r="J596" t="str">
        <f>VLOOKUP(I596, Lookups!$B$1:$C$4, 2, FALSE)</f>
        <v>Slight</v>
      </c>
      <c r="K596">
        <v>2</v>
      </c>
      <c r="L596">
        <v>1</v>
      </c>
      <c r="M596" s="1">
        <v>46009</v>
      </c>
      <c r="N596">
        <v>5</v>
      </c>
      <c r="O596" t="str">
        <f>VLOOKUP(N596, Lookups!$B$6:$C$12, 2, FALSE)</f>
        <v>Thursday</v>
      </c>
      <c r="P596" s="2">
        <v>0.28541666666666665</v>
      </c>
      <c r="Q596">
        <v>-1</v>
      </c>
      <c r="R596" t="s">
        <v>47</v>
      </c>
      <c r="S596" t="s">
        <v>45</v>
      </c>
      <c r="T596" t="s">
        <v>45</v>
      </c>
      <c r="U596">
        <v>3</v>
      </c>
      <c r="V596" t="str">
        <f>VLOOKUP(U596, Lookups!$B$51:$C$57, 2, FALSE)</f>
        <v>A</v>
      </c>
      <c r="W596">
        <v>38</v>
      </c>
      <c r="X596" t="str">
        <f t="shared" ref="X596:X603" si="82">V596&amp;W596</f>
        <v>A38</v>
      </c>
      <c r="Y596">
        <v>6</v>
      </c>
      <c r="Z596" t="str">
        <f>VLOOKUP(Y596, Lookups!$B$14:$C$21, 2, FALSE)</f>
        <v>Single carriageway</v>
      </c>
      <c r="AA596">
        <v>30</v>
      </c>
      <c r="AB596">
        <v>-1</v>
      </c>
      <c r="AC596">
        <v>16</v>
      </c>
      <c r="AD596">
        <v>2</v>
      </c>
      <c r="AE596">
        <v>4</v>
      </c>
      <c r="AF596">
        <v>4091</v>
      </c>
      <c r="AG596">
        <v>-1</v>
      </c>
      <c r="AH596">
        <v>-1</v>
      </c>
      <c r="AI596">
        <v>0</v>
      </c>
      <c r="AJ596">
        <v>4</v>
      </c>
      <c r="AK596" t="str">
        <f>VLOOKUP(AJ596, Lookups!$B$23:$C$28, 2, FALSE)</f>
        <v>Darkness (Lit)</v>
      </c>
      <c r="AL596">
        <v>1</v>
      </c>
      <c r="AM596" t="str">
        <f>VLOOKUP(AL596, Lookups!$B$30:$C$39, 2, FALSE)</f>
        <v>Fine / Clear</v>
      </c>
      <c r="AN596">
        <v>2</v>
      </c>
      <c r="AO596" t="str">
        <f>VLOOKUP(AN596, Lookups!$B$41:$C$49, 2, FALSE)</f>
        <v>Wet / damp</v>
      </c>
      <c r="AP596">
        <v>-1</v>
      </c>
      <c r="AQ596">
        <v>-1</v>
      </c>
      <c r="AR596">
        <v>0</v>
      </c>
      <c r="AS596">
        <v>1</v>
      </c>
      <c r="AT596">
        <v>1</v>
      </c>
      <c r="AU596">
        <v>2</v>
      </c>
      <c r="AV596" t="s">
        <v>127</v>
      </c>
      <c r="AW596">
        <v>3</v>
      </c>
      <c r="AX596">
        <v>1</v>
      </c>
      <c r="AY596">
        <v>0</v>
      </c>
      <c r="AZ596">
        <v>1</v>
      </c>
    </row>
    <row r="597" spans="1:52" x14ac:dyDescent="0.35">
      <c r="A597">
        <v>2025221586499</v>
      </c>
      <c r="B597">
        <v>2025</v>
      </c>
      <c r="C597">
        <v>221586499</v>
      </c>
      <c r="D597">
        <v>384661</v>
      </c>
      <c r="E597">
        <v>256019</v>
      </c>
      <c r="F597">
        <v>-2.2258599999999999</v>
      </c>
      <c r="G597">
        <v>52.202179999999998</v>
      </c>
      <c r="H597">
        <v>22</v>
      </c>
      <c r="I597">
        <v>3</v>
      </c>
      <c r="J597" t="str">
        <f>VLOOKUP(I597, Lookups!$B$1:$C$4, 2, FALSE)</f>
        <v>Slight</v>
      </c>
      <c r="K597">
        <v>2</v>
      </c>
      <c r="L597">
        <v>1</v>
      </c>
      <c r="M597" s="1">
        <v>45780</v>
      </c>
      <c r="N597">
        <v>7</v>
      </c>
      <c r="O597" t="str">
        <f>VLOOKUP(N597, Lookups!$B$6:$C$12, 2, FALSE)</f>
        <v>Saturday</v>
      </c>
      <c r="P597" s="2">
        <v>0.36805555555555558</v>
      </c>
      <c r="Q597">
        <v>-1</v>
      </c>
      <c r="R597" t="s">
        <v>60</v>
      </c>
      <c r="S597" t="s">
        <v>45</v>
      </c>
      <c r="T597" t="s">
        <v>45</v>
      </c>
      <c r="U597">
        <v>3</v>
      </c>
      <c r="V597" t="str">
        <f>VLOOKUP(U597, Lookups!$B$51:$C$57, 2, FALSE)</f>
        <v>A</v>
      </c>
      <c r="W597">
        <v>38</v>
      </c>
      <c r="X597" t="str">
        <f t="shared" si="82"/>
        <v>A38</v>
      </c>
      <c r="Y597">
        <v>6</v>
      </c>
      <c r="Z597" t="str">
        <f>VLOOKUP(Y597, Lookups!$B$14:$C$21, 2, FALSE)</f>
        <v>Single carriageway</v>
      </c>
      <c r="AA597">
        <v>30</v>
      </c>
      <c r="AB597">
        <v>-1</v>
      </c>
      <c r="AC597">
        <v>13</v>
      </c>
      <c r="AD597">
        <v>4</v>
      </c>
      <c r="AE597">
        <v>6</v>
      </c>
      <c r="AF597">
        <v>0</v>
      </c>
      <c r="AG597">
        <v>-1</v>
      </c>
      <c r="AH597">
        <v>-1</v>
      </c>
      <c r="AI597">
        <v>0</v>
      </c>
      <c r="AJ597">
        <v>1</v>
      </c>
      <c r="AK597" t="str">
        <f>VLOOKUP(AJ597, Lookups!$B$23:$C$28, 2, FALSE)</f>
        <v>Daylight</v>
      </c>
      <c r="AL597">
        <v>1</v>
      </c>
      <c r="AM597" t="str">
        <f>VLOOKUP(AL597, Lookups!$B$30:$C$39, 2, FALSE)</f>
        <v>Fine / Clear</v>
      </c>
      <c r="AN597">
        <v>1</v>
      </c>
      <c r="AO597" t="str">
        <f>VLOOKUP(AN597, Lookups!$B$41:$C$49, 2, FALSE)</f>
        <v>Dry</v>
      </c>
      <c r="AP597">
        <v>-1</v>
      </c>
      <c r="AQ597">
        <v>-1</v>
      </c>
      <c r="AR597">
        <v>0</v>
      </c>
      <c r="AS597">
        <v>1</v>
      </c>
      <c r="AT597">
        <v>1</v>
      </c>
      <c r="AU597">
        <v>2</v>
      </c>
      <c r="AV597" t="s">
        <v>142</v>
      </c>
      <c r="AW597">
        <v>3</v>
      </c>
      <c r="AX597">
        <v>1</v>
      </c>
      <c r="AY597">
        <v>0</v>
      </c>
      <c r="AZ597">
        <v>1</v>
      </c>
    </row>
    <row r="598" spans="1:52" x14ac:dyDescent="0.35">
      <c r="A598">
        <v>2025221643095</v>
      </c>
      <c r="B598">
        <v>2025</v>
      </c>
      <c r="C598">
        <v>221643095</v>
      </c>
      <c r="D598">
        <v>386431</v>
      </c>
      <c r="E598">
        <v>241419</v>
      </c>
      <c r="F598">
        <v>-2.19937</v>
      </c>
      <c r="G598">
        <v>52.070970000000003</v>
      </c>
      <c r="H598">
        <v>22</v>
      </c>
      <c r="I598">
        <v>2</v>
      </c>
      <c r="J598" t="str">
        <f>VLOOKUP(I598, Lookups!$B$1:$C$4, 2, FALSE)</f>
        <v>Serious</v>
      </c>
      <c r="K598">
        <v>2</v>
      </c>
      <c r="L598">
        <v>1</v>
      </c>
      <c r="M598" s="1">
        <v>45917</v>
      </c>
      <c r="N598">
        <v>4</v>
      </c>
      <c r="O598" t="str">
        <f>VLOOKUP(N598, Lookups!$B$6:$C$12, 2, FALSE)</f>
        <v>Wednesday</v>
      </c>
      <c r="P598" s="2">
        <v>0.79166666666666663</v>
      </c>
      <c r="Q598">
        <v>-1</v>
      </c>
      <c r="R598" t="s">
        <v>49</v>
      </c>
      <c r="S598" t="s">
        <v>45</v>
      </c>
      <c r="T598" t="s">
        <v>45</v>
      </c>
      <c r="U598">
        <v>3</v>
      </c>
      <c r="V598" t="str">
        <f>VLOOKUP(U598, Lookups!$B$51:$C$57, 2, FALSE)</f>
        <v>A</v>
      </c>
      <c r="W598">
        <v>38</v>
      </c>
      <c r="X598" t="str">
        <f t="shared" si="82"/>
        <v>A38</v>
      </c>
      <c r="Y598">
        <v>1</v>
      </c>
      <c r="Z598" t="str">
        <f>VLOOKUP(Y598, Lookups!$B$14:$C$21, 2, FALSE)</f>
        <v>Roundabout</v>
      </c>
      <c r="AA598">
        <v>60</v>
      </c>
      <c r="AB598">
        <v>-1</v>
      </c>
      <c r="AC598">
        <v>-1</v>
      </c>
      <c r="AD598">
        <v>4</v>
      </c>
      <c r="AE598">
        <v>3</v>
      </c>
      <c r="AF598">
        <v>4104</v>
      </c>
      <c r="AG598">
        <v>-1</v>
      </c>
      <c r="AH598">
        <v>-1</v>
      </c>
      <c r="AI598">
        <v>0</v>
      </c>
      <c r="AJ598">
        <v>4</v>
      </c>
      <c r="AK598" t="str">
        <f>VLOOKUP(AJ598, Lookups!$B$23:$C$28, 2, FALSE)</f>
        <v>Darkness (Lit)</v>
      </c>
      <c r="AL598">
        <v>1</v>
      </c>
      <c r="AM598" t="str">
        <f>VLOOKUP(AL598, Lookups!$B$30:$C$39, 2, FALSE)</f>
        <v>Fine / Clear</v>
      </c>
      <c r="AN598">
        <v>2</v>
      </c>
      <c r="AO598" t="str">
        <f>VLOOKUP(AN598, Lookups!$B$41:$C$49, 2, FALSE)</f>
        <v>Wet / damp</v>
      </c>
      <c r="AP598">
        <v>-1</v>
      </c>
      <c r="AQ598">
        <v>-1</v>
      </c>
      <c r="AR598">
        <v>0</v>
      </c>
      <c r="AS598">
        <v>2</v>
      </c>
      <c r="AT598">
        <v>1</v>
      </c>
      <c r="AU598">
        <v>2</v>
      </c>
      <c r="AV598" t="s">
        <v>189</v>
      </c>
      <c r="AW598">
        <v>6</v>
      </c>
      <c r="AX598">
        <v>1</v>
      </c>
      <c r="AY598">
        <v>1</v>
      </c>
      <c r="AZ598">
        <v>0</v>
      </c>
    </row>
    <row r="599" spans="1:52" x14ac:dyDescent="0.35">
      <c r="A599">
        <v>2025221682669</v>
      </c>
      <c r="B599">
        <v>2025</v>
      </c>
      <c r="C599">
        <v>221682669</v>
      </c>
      <c r="D599">
        <v>376285</v>
      </c>
      <c r="E599">
        <v>246307</v>
      </c>
      <c r="F599">
        <v>-2.3477399999999999</v>
      </c>
      <c r="G599">
        <v>52.114570000000001</v>
      </c>
      <c r="H599">
        <v>22</v>
      </c>
      <c r="I599">
        <v>3</v>
      </c>
      <c r="J599" t="str">
        <f>VLOOKUP(I599, Lookups!$B$1:$C$4, 2, FALSE)</f>
        <v>Slight</v>
      </c>
      <c r="K599">
        <v>2</v>
      </c>
      <c r="L599">
        <v>1</v>
      </c>
      <c r="M599" s="1">
        <v>46004</v>
      </c>
      <c r="N599">
        <v>7</v>
      </c>
      <c r="O599" t="str">
        <f>VLOOKUP(N599, Lookups!$B$6:$C$12, 2, FALSE)</f>
        <v>Saturday</v>
      </c>
      <c r="P599" s="2">
        <v>0.69791666666666663</v>
      </c>
      <c r="Q599">
        <v>-1</v>
      </c>
      <c r="R599" t="s">
        <v>49</v>
      </c>
      <c r="S599" t="s">
        <v>45</v>
      </c>
      <c r="T599" t="s">
        <v>45</v>
      </c>
      <c r="U599">
        <v>4</v>
      </c>
      <c r="V599" t="str">
        <f>VLOOKUP(U599, Lookups!$B$51:$C$57, 2, FALSE)</f>
        <v>B</v>
      </c>
      <c r="W599">
        <v>4232</v>
      </c>
      <c r="X599" t="str">
        <f t="shared" si="82"/>
        <v>B4232</v>
      </c>
      <c r="Y599">
        <v>6</v>
      </c>
      <c r="Z599" t="str">
        <f>VLOOKUP(Y599, Lookups!$B$14:$C$21, 2, FALSE)</f>
        <v>Single carriageway</v>
      </c>
      <c r="AA599">
        <v>30</v>
      </c>
      <c r="AB599">
        <v>-1</v>
      </c>
      <c r="AC599">
        <v>0</v>
      </c>
      <c r="AD599">
        <v>-1</v>
      </c>
      <c r="AE599">
        <v>6</v>
      </c>
      <c r="AF599">
        <v>0</v>
      </c>
      <c r="AG599">
        <v>-1</v>
      </c>
      <c r="AH599">
        <v>-1</v>
      </c>
      <c r="AI599">
        <v>0</v>
      </c>
      <c r="AJ599">
        <v>4</v>
      </c>
      <c r="AK599" t="str">
        <f>VLOOKUP(AJ599, Lookups!$B$23:$C$28, 2, FALSE)</f>
        <v>Darkness (Lit)</v>
      </c>
      <c r="AL599">
        <v>1</v>
      </c>
      <c r="AM599" t="str">
        <f>VLOOKUP(AL599, Lookups!$B$30:$C$39, 2, FALSE)</f>
        <v>Fine / Clear</v>
      </c>
      <c r="AN599">
        <v>1</v>
      </c>
      <c r="AO599" t="str">
        <f>VLOOKUP(AN599, Lookups!$B$41:$C$49, 2, FALSE)</f>
        <v>Dry</v>
      </c>
      <c r="AP599">
        <v>-1</v>
      </c>
      <c r="AQ599">
        <v>-1</v>
      </c>
      <c r="AR599">
        <v>0</v>
      </c>
      <c r="AS599">
        <v>1</v>
      </c>
      <c r="AT599">
        <v>3</v>
      </c>
      <c r="AU599">
        <v>2</v>
      </c>
      <c r="AV599" t="s">
        <v>231</v>
      </c>
      <c r="AW599">
        <v>3</v>
      </c>
      <c r="AX599">
        <v>1</v>
      </c>
      <c r="AY599">
        <v>0</v>
      </c>
      <c r="AZ599">
        <v>1</v>
      </c>
    </row>
    <row r="600" spans="1:52" x14ac:dyDescent="0.35">
      <c r="A600">
        <v>2025221561601</v>
      </c>
      <c r="B600">
        <v>2025</v>
      </c>
      <c r="C600">
        <v>221561601</v>
      </c>
      <c r="D600">
        <v>380319</v>
      </c>
      <c r="E600">
        <v>249868</v>
      </c>
      <c r="F600">
        <v>-2.2890299999999999</v>
      </c>
      <c r="G600">
        <v>52.146740000000001</v>
      </c>
      <c r="H600">
        <v>22</v>
      </c>
      <c r="I600">
        <v>2</v>
      </c>
      <c r="J600" t="str">
        <f>VLOOKUP(I600, Lookups!$B$1:$C$4, 2, FALSE)</f>
        <v>Serious</v>
      </c>
      <c r="K600">
        <v>2</v>
      </c>
      <c r="L600">
        <v>1</v>
      </c>
      <c r="M600" s="1">
        <v>45688</v>
      </c>
      <c r="N600">
        <v>6</v>
      </c>
      <c r="O600" t="str">
        <f>VLOOKUP(N600, Lookups!$B$6:$C$12, 2, FALSE)</f>
        <v>Friday</v>
      </c>
      <c r="P600" s="2">
        <v>0.79166666666666663</v>
      </c>
      <c r="Q600">
        <v>-1</v>
      </c>
      <c r="R600" t="s">
        <v>49</v>
      </c>
      <c r="S600" t="s">
        <v>45</v>
      </c>
      <c r="T600" t="s">
        <v>45</v>
      </c>
      <c r="U600">
        <v>3</v>
      </c>
      <c r="V600" t="str">
        <f>VLOOKUP(U600, Lookups!$B$51:$C$57, 2, FALSE)</f>
        <v>A</v>
      </c>
      <c r="W600">
        <v>449</v>
      </c>
      <c r="X600" t="str">
        <f t="shared" si="82"/>
        <v>A449</v>
      </c>
      <c r="Y600">
        <v>6</v>
      </c>
      <c r="Z600" t="str">
        <f>VLOOKUP(Y600, Lookups!$B$14:$C$21, 2, FALSE)</f>
        <v>Single carriageway</v>
      </c>
      <c r="AA600">
        <v>40</v>
      </c>
      <c r="AB600">
        <v>-1</v>
      </c>
      <c r="AC600">
        <v>13</v>
      </c>
      <c r="AD600">
        <v>4</v>
      </c>
      <c r="AE600">
        <v>6</v>
      </c>
      <c r="AF600">
        <v>0</v>
      </c>
      <c r="AG600">
        <v>-1</v>
      </c>
      <c r="AH600">
        <v>-1</v>
      </c>
      <c r="AI600">
        <v>0</v>
      </c>
      <c r="AJ600">
        <v>6</v>
      </c>
      <c r="AK600" t="str">
        <f>VLOOKUP(AJ600, Lookups!$B$23:$C$28, 2, FALSE)</f>
        <v>Darkness (Unlit)</v>
      </c>
      <c r="AL600">
        <v>1</v>
      </c>
      <c r="AM600" t="str">
        <f>VLOOKUP(AL600, Lookups!$B$30:$C$39, 2, FALSE)</f>
        <v>Fine / Clear</v>
      </c>
      <c r="AN600">
        <v>1</v>
      </c>
      <c r="AO600" t="str">
        <f>VLOOKUP(AN600, Lookups!$B$41:$C$49, 2, FALSE)</f>
        <v>Dry</v>
      </c>
      <c r="AP600">
        <v>-1</v>
      </c>
      <c r="AQ600">
        <v>-1</v>
      </c>
      <c r="AR600">
        <v>0</v>
      </c>
      <c r="AS600">
        <v>2</v>
      </c>
      <c r="AT600">
        <v>1</v>
      </c>
      <c r="AU600">
        <v>2</v>
      </c>
      <c r="AV600" t="s">
        <v>211</v>
      </c>
      <c r="AW600">
        <v>7</v>
      </c>
      <c r="AX600">
        <v>1</v>
      </c>
      <c r="AY600">
        <v>1</v>
      </c>
      <c r="AZ600">
        <v>0</v>
      </c>
    </row>
    <row r="601" spans="1:52" x14ac:dyDescent="0.35">
      <c r="A601">
        <v>2025221556808</v>
      </c>
      <c r="B601">
        <v>2025</v>
      </c>
      <c r="C601">
        <v>221556808</v>
      </c>
      <c r="D601">
        <v>384103</v>
      </c>
      <c r="E601">
        <v>277402</v>
      </c>
      <c r="F601">
        <v>-2.2350400000000001</v>
      </c>
      <c r="G601">
        <v>52.394399999999997</v>
      </c>
      <c r="H601">
        <v>22</v>
      </c>
      <c r="I601">
        <v>3</v>
      </c>
      <c r="J601" t="str">
        <f>VLOOKUP(I601, Lookups!$B$1:$C$4, 2, FALSE)</f>
        <v>Slight</v>
      </c>
      <c r="K601">
        <v>2</v>
      </c>
      <c r="L601">
        <v>1</v>
      </c>
      <c r="M601" s="1">
        <v>45709</v>
      </c>
      <c r="N601">
        <v>6</v>
      </c>
      <c r="O601" t="str">
        <f>VLOOKUP(N601, Lookups!$B$6:$C$12, 2, FALSE)</f>
        <v>Friday</v>
      </c>
      <c r="P601" s="2">
        <v>0.52777777777777779</v>
      </c>
      <c r="Q601">
        <v>-1</v>
      </c>
      <c r="R601" t="s">
        <v>44</v>
      </c>
      <c r="S601" t="s">
        <v>45</v>
      </c>
      <c r="T601" t="s">
        <v>45</v>
      </c>
      <c r="U601">
        <v>3</v>
      </c>
      <c r="V601" t="str">
        <f>VLOOKUP(U601, Lookups!$B$51:$C$57, 2, FALSE)</f>
        <v>A</v>
      </c>
      <c r="W601">
        <v>449</v>
      </c>
      <c r="X601" t="str">
        <f t="shared" si="82"/>
        <v>A449</v>
      </c>
      <c r="Y601">
        <v>6</v>
      </c>
      <c r="Z601" t="str">
        <f>VLOOKUP(Y601, Lookups!$B$14:$C$21, 2, FALSE)</f>
        <v>Single carriageway</v>
      </c>
      <c r="AA601">
        <v>30</v>
      </c>
      <c r="AB601">
        <v>-1</v>
      </c>
      <c r="AC601">
        <v>0</v>
      </c>
      <c r="AD601">
        <v>-1</v>
      </c>
      <c r="AE601">
        <v>0</v>
      </c>
      <c r="AF601">
        <v>-1</v>
      </c>
      <c r="AG601">
        <v>-1</v>
      </c>
      <c r="AH601">
        <v>-1</v>
      </c>
      <c r="AI601">
        <v>0</v>
      </c>
      <c r="AJ601">
        <v>1</v>
      </c>
      <c r="AK601" t="str">
        <f>VLOOKUP(AJ601, Lookups!$B$23:$C$28, 2, FALSE)</f>
        <v>Daylight</v>
      </c>
      <c r="AL601">
        <v>2</v>
      </c>
      <c r="AM601" t="str">
        <f>VLOOKUP(AL601, Lookups!$B$30:$C$39, 2, FALSE)</f>
        <v>Rain</v>
      </c>
      <c r="AN601">
        <v>2</v>
      </c>
      <c r="AO601" t="str">
        <f>VLOOKUP(AN601, Lookups!$B$41:$C$49, 2, FALSE)</f>
        <v>Wet / damp</v>
      </c>
      <c r="AP601">
        <v>-1</v>
      </c>
      <c r="AQ601">
        <v>-1</v>
      </c>
      <c r="AR601">
        <v>13</v>
      </c>
      <c r="AS601">
        <v>1</v>
      </c>
      <c r="AT601">
        <v>3</v>
      </c>
      <c r="AU601">
        <v>2</v>
      </c>
      <c r="AV601" t="s">
        <v>251</v>
      </c>
      <c r="AW601">
        <v>3</v>
      </c>
      <c r="AX601">
        <v>1</v>
      </c>
      <c r="AY601">
        <v>0</v>
      </c>
      <c r="AZ601">
        <v>1</v>
      </c>
    </row>
    <row r="602" spans="1:52" x14ac:dyDescent="0.35">
      <c r="A602">
        <v>2025221566043</v>
      </c>
      <c r="B602">
        <v>2025</v>
      </c>
      <c r="C602">
        <v>221566043</v>
      </c>
      <c r="D602">
        <v>390303</v>
      </c>
      <c r="E602">
        <v>280133</v>
      </c>
      <c r="F602">
        <v>-2.1440100000000002</v>
      </c>
      <c r="G602">
        <v>52.4191</v>
      </c>
      <c r="H602">
        <v>22</v>
      </c>
      <c r="I602">
        <v>3</v>
      </c>
      <c r="J602" t="str">
        <f>VLOOKUP(I602, Lookups!$B$1:$C$4, 2, FALSE)</f>
        <v>Slight</v>
      </c>
      <c r="K602">
        <v>2</v>
      </c>
      <c r="L602">
        <v>1</v>
      </c>
      <c r="M602" s="1">
        <v>45728</v>
      </c>
      <c r="N602">
        <v>4</v>
      </c>
      <c r="O602" t="str">
        <f>VLOOKUP(N602, Lookups!$B$6:$C$12, 2, FALSE)</f>
        <v>Wednesday</v>
      </c>
      <c r="P602" s="2">
        <v>0.625</v>
      </c>
      <c r="Q602">
        <v>-1</v>
      </c>
      <c r="R602" t="s">
        <v>47</v>
      </c>
      <c r="S602" t="s">
        <v>45</v>
      </c>
      <c r="T602" t="s">
        <v>45</v>
      </c>
      <c r="U602">
        <v>4</v>
      </c>
      <c r="V602" t="str">
        <f>VLOOKUP(U602, Lookups!$B$51:$C$57, 2, FALSE)</f>
        <v>B</v>
      </c>
      <c r="W602">
        <v>4187</v>
      </c>
      <c r="X602" t="str">
        <f t="shared" si="82"/>
        <v>B4187</v>
      </c>
      <c r="Y602">
        <v>6</v>
      </c>
      <c r="Z602" t="str">
        <f>VLOOKUP(Y602, Lookups!$B$14:$C$21, 2, FALSE)</f>
        <v>Single carriageway</v>
      </c>
      <c r="AA602">
        <v>30</v>
      </c>
      <c r="AB602">
        <v>-1</v>
      </c>
      <c r="AC602">
        <v>0</v>
      </c>
      <c r="AD602">
        <v>-1</v>
      </c>
      <c r="AE602">
        <v>6</v>
      </c>
      <c r="AF602">
        <v>0</v>
      </c>
      <c r="AG602">
        <v>-1</v>
      </c>
      <c r="AH602">
        <v>-1</v>
      </c>
      <c r="AI602">
        <v>0</v>
      </c>
      <c r="AJ602">
        <v>1</v>
      </c>
      <c r="AK602" t="str">
        <f>VLOOKUP(AJ602, Lookups!$B$23:$C$28, 2, FALSE)</f>
        <v>Daylight</v>
      </c>
      <c r="AL602">
        <v>1</v>
      </c>
      <c r="AM602" t="str">
        <f>VLOOKUP(AL602, Lookups!$B$30:$C$39, 2, FALSE)</f>
        <v>Fine / Clear</v>
      </c>
      <c r="AN602">
        <v>1</v>
      </c>
      <c r="AO602" t="str">
        <f>VLOOKUP(AN602, Lookups!$B$41:$C$49, 2, FALSE)</f>
        <v>Dry</v>
      </c>
      <c r="AP602">
        <v>-1</v>
      </c>
      <c r="AQ602">
        <v>-1</v>
      </c>
      <c r="AR602">
        <v>0</v>
      </c>
      <c r="AS602">
        <v>1</v>
      </c>
      <c r="AT602">
        <v>3</v>
      </c>
      <c r="AU602">
        <v>2</v>
      </c>
      <c r="AV602" t="s">
        <v>295</v>
      </c>
      <c r="AW602">
        <v>3</v>
      </c>
      <c r="AX602">
        <v>1</v>
      </c>
      <c r="AY602">
        <v>0</v>
      </c>
      <c r="AZ602">
        <v>1</v>
      </c>
    </row>
    <row r="603" spans="1:52" x14ac:dyDescent="0.35">
      <c r="A603">
        <v>2025221656441</v>
      </c>
      <c r="B603">
        <v>2025</v>
      </c>
      <c r="C603">
        <v>221656441</v>
      </c>
      <c r="D603">
        <v>389750</v>
      </c>
      <c r="E603">
        <v>257942</v>
      </c>
      <c r="F603">
        <v>-2.1514600000000002</v>
      </c>
      <c r="G603">
        <v>52.219589999999997</v>
      </c>
      <c r="H603">
        <v>22</v>
      </c>
      <c r="I603">
        <v>3</v>
      </c>
      <c r="J603" t="str">
        <f>VLOOKUP(I603, Lookups!$B$1:$C$4, 2, FALSE)</f>
        <v>Slight</v>
      </c>
      <c r="K603">
        <v>2</v>
      </c>
      <c r="L603">
        <v>1</v>
      </c>
      <c r="M603" s="1">
        <v>45949</v>
      </c>
      <c r="N603">
        <v>1</v>
      </c>
      <c r="O603" t="str">
        <f>VLOOKUP(N603, Lookups!$B$6:$C$12, 2, FALSE)</f>
        <v>Sunday</v>
      </c>
      <c r="P603" s="2">
        <v>0.80208333333333337</v>
      </c>
      <c r="Q603">
        <v>-1</v>
      </c>
      <c r="R603" t="s">
        <v>54</v>
      </c>
      <c r="S603" t="s">
        <v>45</v>
      </c>
      <c r="T603" t="s">
        <v>45</v>
      </c>
      <c r="U603">
        <v>1</v>
      </c>
      <c r="V603" t="str">
        <f>VLOOKUP(U603, Lookups!$B$51:$C$57, 2, FALSE)</f>
        <v>M</v>
      </c>
      <c r="W603">
        <v>5</v>
      </c>
      <c r="X603" t="str">
        <f t="shared" si="82"/>
        <v>M5</v>
      </c>
      <c r="Y603">
        <v>3</v>
      </c>
      <c r="Z603" t="str">
        <f>VLOOKUP(Y603, Lookups!$B$14:$C$21, 2, FALSE)</f>
        <v>Dual carriageway</v>
      </c>
      <c r="AA603">
        <v>70</v>
      </c>
      <c r="AB603">
        <v>-1</v>
      </c>
      <c r="AC603">
        <v>0</v>
      </c>
      <c r="AD603">
        <v>-1</v>
      </c>
      <c r="AE603">
        <v>0</v>
      </c>
      <c r="AF603">
        <v>-1</v>
      </c>
      <c r="AG603">
        <v>-1</v>
      </c>
      <c r="AH603">
        <v>-1</v>
      </c>
      <c r="AI603">
        <v>0</v>
      </c>
      <c r="AJ603">
        <v>4</v>
      </c>
      <c r="AK603" t="str">
        <f>VLOOKUP(AJ603, Lookups!$B$23:$C$28, 2, FALSE)</f>
        <v>Darkness (Lit)</v>
      </c>
      <c r="AL603">
        <v>2</v>
      </c>
      <c r="AM603" t="str">
        <f>VLOOKUP(AL603, Lookups!$B$30:$C$39, 2, FALSE)</f>
        <v>Rain</v>
      </c>
      <c r="AN603">
        <v>5</v>
      </c>
      <c r="AO603" t="str">
        <f>VLOOKUP(AN603, Lookups!$B$41:$C$49, 2, FALSE)</f>
        <v>Flood over 3cm</v>
      </c>
      <c r="AP603">
        <v>-1</v>
      </c>
      <c r="AQ603">
        <v>-1</v>
      </c>
      <c r="AR603">
        <v>0</v>
      </c>
      <c r="AS603">
        <v>2</v>
      </c>
      <c r="AT603">
        <v>1</v>
      </c>
      <c r="AU603">
        <v>1</v>
      </c>
      <c r="AV603" t="s">
        <v>254</v>
      </c>
      <c r="AW603">
        <v>3</v>
      </c>
      <c r="AX603">
        <v>1</v>
      </c>
      <c r="AY603">
        <v>0</v>
      </c>
      <c r="AZ603">
        <v>1</v>
      </c>
    </row>
    <row r="604" spans="1:52" x14ac:dyDescent="0.35">
      <c r="A604">
        <v>2025221660519</v>
      </c>
      <c r="B604">
        <v>2025</v>
      </c>
      <c r="C604">
        <v>221660519</v>
      </c>
      <c r="D604">
        <v>385486</v>
      </c>
      <c r="E604">
        <v>256345</v>
      </c>
      <c r="F604">
        <v>-2.2138</v>
      </c>
      <c r="G604">
        <v>52.20514</v>
      </c>
      <c r="H604">
        <v>22</v>
      </c>
      <c r="I604">
        <v>3</v>
      </c>
      <c r="J604" t="str">
        <f>VLOOKUP(I604, Lookups!$B$1:$C$4, 2, FALSE)</f>
        <v>Slight</v>
      </c>
      <c r="K604">
        <v>2</v>
      </c>
      <c r="L604">
        <v>1</v>
      </c>
      <c r="M604" s="1">
        <v>45958</v>
      </c>
      <c r="N604">
        <v>3</v>
      </c>
      <c r="O604" t="str">
        <f>VLOOKUP(N604, Lookups!$B$6:$C$12, 2, FALSE)</f>
        <v>Tuesday</v>
      </c>
      <c r="P604" s="2">
        <v>0.85416666666666663</v>
      </c>
      <c r="Q604">
        <v>-1</v>
      </c>
      <c r="R604" t="s">
        <v>60</v>
      </c>
      <c r="S604" t="s">
        <v>45</v>
      </c>
      <c r="T604" t="s">
        <v>45</v>
      </c>
      <c r="U604">
        <v>6</v>
      </c>
      <c r="V604" t="str">
        <f>VLOOKUP(U604, Lookups!$B$51:$C$57, 2, FALSE)</f>
        <v>Unclassified</v>
      </c>
      <c r="W604">
        <v>0</v>
      </c>
      <c r="X604" t="s">
        <v>362</v>
      </c>
      <c r="Y604">
        <v>6</v>
      </c>
      <c r="Z604" t="str">
        <f>VLOOKUP(Y604, Lookups!$B$14:$C$21, 2, FALSE)</f>
        <v>Single carriageway</v>
      </c>
      <c r="AA604">
        <v>30</v>
      </c>
      <c r="AB604">
        <v>-1</v>
      </c>
      <c r="AC604">
        <v>0</v>
      </c>
      <c r="AD604">
        <v>-1</v>
      </c>
      <c r="AE604">
        <v>6</v>
      </c>
      <c r="AF604">
        <v>0</v>
      </c>
      <c r="AG604">
        <v>-1</v>
      </c>
      <c r="AH604">
        <v>-1</v>
      </c>
      <c r="AI604">
        <v>0</v>
      </c>
      <c r="AJ604">
        <v>4</v>
      </c>
      <c r="AK604" t="str">
        <f>VLOOKUP(AJ604, Lookups!$B$23:$C$28, 2, FALSE)</f>
        <v>Darkness (Lit)</v>
      </c>
      <c r="AL604">
        <v>1</v>
      </c>
      <c r="AM604" t="str">
        <f>VLOOKUP(AL604, Lookups!$B$30:$C$39, 2, FALSE)</f>
        <v>Fine / Clear</v>
      </c>
      <c r="AN604">
        <v>1</v>
      </c>
      <c r="AO604" t="str">
        <f>VLOOKUP(AN604, Lookups!$B$41:$C$49, 2, FALSE)</f>
        <v>Dry</v>
      </c>
      <c r="AP604">
        <v>-1</v>
      </c>
      <c r="AQ604">
        <v>-1</v>
      </c>
      <c r="AR604">
        <v>0</v>
      </c>
      <c r="AS604">
        <v>1</v>
      </c>
      <c r="AT604">
        <v>1</v>
      </c>
      <c r="AU604">
        <v>2</v>
      </c>
      <c r="AV604" t="s">
        <v>163</v>
      </c>
      <c r="AW604">
        <v>3</v>
      </c>
      <c r="AX604">
        <v>1</v>
      </c>
      <c r="AY604">
        <v>0</v>
      </c>
      <c r="AZ604">
        <v>1</v>
      </c>
    </row>
    <row r="605" spans="1:52" x14ac:dyDescent="0.35">
      <c r="A605">
        <v>2025221544947</v>
      </c>
      <c r="B605">
        <v>2025</v>
      </c>
      <c r="C605">
        <v>221544947</v>
      </c>
      <c r="D605">
        <v>390015</v>
      </c>
      <c r="E605">
        <v>258259</v>
      </c>
      <c r="F605">
        <v>-2.1475900000000001</v>
      </c>
      <c r="G605">
        <v>52.222450000000002</v>
      </c>
      <c r="H605">
        <v>22</v>
      </c>
      <c r="I605">
        <v>2</v>
      </c>
      <c r="J605" t="str">
        <f>VLOOKUP(I605, Lookups!$B$1:$C$4, 2, FALSE)</f>
        <v>Serious</v>
      </c>
      <c r="K605">
        <v>1</v>
      </c>
      <c r="L605">
        <v>1</v>
      </c>
      <c r="M605" s="1">
        <v>45672</v>
      </c>
      <c r="N605">
        <v>4</v>
      </c>
      <c r="O605" t="str">
        <f>VLOOKUP(N605, Lookups!$B$6:$C$12, 2, FALSE)</f>
        <v>Wednesday</v>
      </c>
      <c r="P605" s="2">
        <v>0.47916666666666669</v>
      </c>
      <c r="Q605">
        <v>-1</v>
      </c>
      <c r="R605" t="s">
        <v>54</v>
      </c>
      <c r="S605" t="s">
        <v>45</v>
      </c>
      <c r="T605" t="s">
        <v>45</v>
      </c>
      <c r="U605">
        <v>1</v>
      </c>
      <c r="V605" t="str">
        <f>VLOOKUP(U605, Lookups!$B$51:$C$57, 2, FALSE)</f>
        <v>M</v>
      </c>
      <c r="W605">
        <v>5</v>
      </c>
      <c r="X605" t="str">
        <f t="shared" ref="X605:X609" si="83">V605&amp;W605</f>
        <v>M5</v>
      </c>
      <c r="Y605">
        <v>3</v>
      </c>
      <c r="Z605" t="str">
        <f>VLOOKUP(Y605, Lookups!$B$14:$C$21, 2, FALSE)</f>
        <v>Dual carriageway</v>
      </c>
      <c r="AA605">
        <v>50</v>
      </c>
      <c r="AB605">
        <v>-1</v>
      </c>
      <c r="AC605">
        <v>0</v>
      </c>
      <c r="AD605">
        <v>-1</v>
      </c>
      <c r="AE605">
        <v>0</v>
      </c>
      <c r="AF605">
        <v>-1</v>
      </c>
      <c r="AG605">
        <v>-1</v>
      </c>
      <c r="AH605">
        <v>-1</v>
      </c>
      <c r="AI605">
        <v>0</v>
      </c>
      <c r="AJ605">
        <v>1</v>
      </c>
      <c r="AK605" t="str">
        <f>VLOOKUP(AJ605, Lookups!$B$23:$C$28, 2, FALSE)</f>
        <v>Daylight</v>
      </c>
      <c r="AL605">
        <v>1</v>
      </c>
      <c r="AM605" t="str">
        <f>VLOOKUP(AL605, Lookups!$B$30:$C$39, 2, FALSE)</f>
        <v>Fine / Clear</v>
      </c>
      <c r="AN605">
        <v>1</v>
      </c>
      <c r="AO605" t="str">
        <f>VLOOKUP(AN605, Lookups!$B$41:$C$49, 2, FALSE)</f>
        <v>Dry</v>
      </c>
      <c r="AP605">
        <v>-1</v>
      </c>
      <c r="AQ605">
        <v>-1</v>
      </c>
      <c r="AR605">
        <v>13</v>
      </c>
      <c r="AS605">
        <v>2</v>
      </c>
      <c r="AT605">
        <v>1</v>
      </c>
      <c r="AU605">
        <v>1</v>
      </c>
      <c r="AV605" t="s">
        <v>254</v>
      </c>
      <c r="AW605">
        <v>5</v>
      </c>
      <c r="AX605">
        <v>1</v>
      </c>
      <c r="AY605">
        <v>1</v>
      </c>
      <c r="AZ605">
        <v>0</v>
      </c>
    </row>
    <row r="606" spans="1:52" x14ac:dyDescent="0.35">
      <c r="A606">
        <v>2025221559990</v>
      </c>
      <c r="B606">
        <v>2025</v>
      </c>
      <c r="C606">
        <v>221559990</v>
      </c>
      <c r="D606">
        <v>383662</v>
      </c>
      <c r="E606">
        <v>274978</v>
      </c>
      <c r="F606">
        <v>-2.2414000000000001</v>
      </c>
      <c r="G606">
        <v>52.372599999999998</v>
      </c>
      <c r="H606">
        <v>22</v>
      </c>
      <c r="I606">
        <v>2</v>
      </c>
      <c r="J606" t="str">
        <f>VLOOKUP(I606, Lookups!$B$1:$C$4, 2, FALSE)</f>
        <v>Serious</v>
      </c>
      <c r="K606">
        <v>2</v>
      </c>
      <c r="L606">
        <v>1</v>
      </c>
      <c r="M606" s="1">
        <v>45717</v>
      </c>
      <c r="N606">
        <v>7</v>
      </c>
      <c r="O606" t="str">
        <f>VLOOKUP(N606, Lookups!$B$6:$C$12, 2, FALSE)</f>
        <v>Saturday</v>
      </c>
      <c r="P606" s="2">
        <v>0.68402777777777779</v>
      </c>
      <c r="Q606">
        <v>-1</v>
      </c>
      <c r="R606" t="s">
        <v>44</v>
      </c>
      <c r="S606" t="s">
        <v>45</v>
      </c>
      <c r="T606" t="s">
        <v>45</v>
      </c>
      <c r="U606">
        <v>3</v>
      </c>
      <c r="V606" t="str">
        <f>VLOOKUP(U606, Lookups!$B$51:$C$57, 2, FALSE)</f>
        <v>A</v>
      </c>
      <c r="W606">
        <v>449</v>
      </c>
      <c r="X606" t="str">
        <f t="shared" si="83"/>
        <v>A449</v>
      </c>
      <c r="Y606">
        <v>1</v>
      </c>
      <c r="Z606" t="str">
        <f>VLOOKUP(Y606, Lookups!$B$14:$C$21, 2, FALSE)</f>
        <v>Roundabout</v>
      </c>
      <c r="AA606">
        <v>30</v>
      </c>
      <c r="AB606">
        <v>-1</v>
      </c>
      <c r="AC606">
        <v>-1</v>
      </c>
      <c r="AD606">
        <v>4</v>
      </c>
      <c r="AE606">
        <v>6</v>
      </c>
      <c r="AF606">
        <v>0</v>
      </c>
      <c r="AG606">
        <v>-1</v>
      </c>
      <c r="AH606">
        <v>-1</v>
      </c>
      <c r="AI606">
        <v>17</v>
      </c>
      <c r="AJ606">
        <v>1</v>
      </c>
      <c r="AK606" t="str">
        <f>VLOOKUP(AJ606, Lookups!$B$23:$C$28, 2, FALSE)</f>
        <v>Daylight</v>
      </c>
      <c r="AL606">
        <v>1</v>
      </c>
      <c r="AM606" t="str">
        <f>VLOOKUP(AL606, Lookups!$B$30:$C$39, 2, FALSE)</f>
        <v>Fine / Clear</v>
      </c>
      <c r="AN606">
        <v>1</v>
      </c>
      <c r="AO606" t="str">
        <f>VLOOKUP(AN606, Lookups!$B$41:$C$49, 2, FALSE)</f>
        <v>Dry</v>
      </c>
      <c r="AP606">
        <v>-1</v>
      </c>
      <c r="AQ606">
        <v>-1</v>
      </c>
      <c r="AR606">
        <v>0</v>
      </c>
      <c r="AS606">
        <v>1</v>
      </c>
      <c r="AT606">
        <v>3</v>
      </c>
      <c r="AU606">
        <v>2</v>
      </c>
      <c r="AV606" t="s">
        <v>114</v>
      </c>
      <c r="AW606">
        <v>7</v>
      </c>
      <c r="AX606">
        <v>1</v>
      </c>
      <c r="AY606">
        <v>1</v>
      </c>
      <c r="AZ606">
        <v>0</v>
      </c>
    </row>
    <row r="607" spans="1:52" x14ac:dyDescent="0.35">
      <c r="A607">
        <v>2025221564675</v>
      </c>
      <c r="B607">
        <v>2025</v>
      </c>
      <c r="C607">
        <v>221564675</v>
      </c>
      <c r="D607">
        <v>376572</v>
      </c>
      <c r="E607">
        <v>249784</v>
      </c>
      <c r="F607">
        <v>-2.3437800000000002</v>
      </c>
      <c r="G607">
        <v>52.14584</v>
      </c>
      <c r="H607">
        <v>22</v>
      </c>
      <c r="I607">
        <v>3</v>
      </c>
      <c r="J607" t="str">
        <f>VLOOKUP(I607, Lookups!$B$1:$C$4, 2, FALSE)</f>
        <v>Slight</v>
      </c>
      <c r="K607">
        <v>2</v>
      </c>
      <c r="L607">
        <v>1</v>
      </c>
      <c r="M607" s="1">
        <v>45729</v>
      </c>
      <c r="N607">
        <v>5</v>
      </c>
      <c r="O607" t="str">
        <f>VLOOKUP(N607, Lookups!$B$6:$C$12, 2, FALSE)</f>
        <v>Thursday</v>
      </c>
      <c r="P607" s="2">
        <v>0.7055555555555556</v>
      </c>
      <c r="Q607">
        <v>-1</v>
      </c>
      <c r="R607" t="s">
        <v>49</v>
      </c>
      <c r="S607" t="s">
        <v>45</v>
      </c>
      <c r="T607" t="s">
        <v>45</v>
      </c>
      <c r="U607">
        <v>3</v>
      </c>
      <c r="V607" t="str">
        <f>VLOOKUP(U607, Lookups!$B$51:$C$57, 2, FALSE)</f>
        <v>A</v>
      </c>
      <c r="W607">
        <v>4103</v>
      </c>
      <c r="X607" t="str">
        <f t="shared" si="83"/>
        <v>A4103</v>
      </c>
      <c r="Y607">
        <v>6</v>
      </c>
      <c r="Z607" t="str">
        <f>VLOOKUP(Y607, Lookups!$B$14:$C$21, 2, FALSE)</f>
        <v>Single carriageway</v>
      </c>
      <c r="AA607">
        <v>60</v>
      </c>
      <c r="AB607">
        <v>-1</v>
      </c>
      <c r="AC607">
        <v>13</v>
      </c>
      <c r="AD607">
        <v>4</v>
      </c>
      <c r="AE607">
        <v>6</v>
      </c>
      <c r="AF607">
        <v>0</v>
      </c>
      <c r="AG607">
        <v>-1</v>
      </c>
      <c r="AH607">
        <v>-1</v>
      </c>
      <c r="AI607">
        <v>0</v>
      </c>
      <c r="AJ607">
        <v>1</v>
      </c>
      <c r="AK607" t="str">
        <f>VLOOKUP(AJ607, Lookups!$B$23:$C$28, 2, FALSE)</f>
        <v>Daylight</v>
      </c>
      <c r="AL607">
        <v>1</v>
      </c>
      <c r="AM607" t="str">
        <f>VLOOKUP(AL607, Lookups!$B$30:$C$39, 2, FALSE)</f>
        <v>Fine / Clear</v>
      </c>
      <c r="AN607">
        <v>1</v>
      </c>
      <c r="AO607" t="str">
        <f>VLOOKUP(AN607, Lookups!$B$41:$C$49, 2, FALSE)</f>
        <v>Dry</v>
      </c>
      <c r="AP607">
        <v>-1</v>
      </c>
      <c r="AQ607">
        <v>-1</v>
      </c>
      <c r="AR607">
        <v>0</v>
      </c>
      <c r="AS607">
        <v>2</v>
      </c>
      <c r="AT607">
        <v>1</v>
      </c>
      <c r="AU607">
        <v>2</v>
      </c>
      <c r="AV607" t="s">
        <v>233</v>
      </c>
      <c r="AW607">
        <v>3</v>
      </c>
      <c r="AX607">
        <v>1</v>
      </c>
      <c r="AY607">
        <v>0</v>
      </c>
      <c r="AZ607">
        <v>1</v>
      </c>
    </row>
    <row r="608" spans="1:52" x14ac:dyDescent="0.35">
      <c r="A608">
        <v>2025221541514</v>
      </c>
      <c r="B608">
        <v>2025</v>
      </c>
      <c r="C608">
        <v>221541514</v>
      </c>
      <c r="D608">
        <v>404494</v>
      </c>
      <c r="E608">
        <v>266122</v>
      </c>
      <c r="F608">
        <v>-1.93553</v>
      </c>
      <c r="G608">
        <v>52.293210000000002</v>
      </c>
      <c r="H608">
        <v>22</v>
      </c>
      <c r="I608">
        <v>3</v>
      </c>
      <c r="J608" t="str">
        <f>VLOOKUP(I608, Lookups!$B$1:$C$4, 2, FALSE)</f>
        <v>Slight</v>
      </c>
      <c r="K608">
        <v>2</v>
      </c>
      <c r="L608">
        <v>2</v>
      </c>
      <c r="M608" s="1">
        <v>45665</v>
      </c>
      <c r="N608">
        <v>4</v>
      </c>
      <c r="O608" t="str">
        <f>VLOOKUP(N608, Lookups!$B$6:$C$12, 2, FALSE)</f>
        <v>Wednesday</v>
      </c>
      <c r="P608" s="2">
        <v>0.33124999999999999</v>
      </c>
      <c r="Q608">
        <v>-1</v>
      </c>
      <c r="R608" t="s">
        <v>69</v>
      </c>
      <c r="S608" t="s">
        <v>45</v>
      </c>
      <c r="T608" t="s">
        <v>45</v>
      </c>
      <c r="U608">
        <v>3</v>
      </c>
      <c r="V608" t="str">
        <f>VLOOKUP(U608, Lookups!$B$51:$C$57, 2, FALSE)</f>
        <v>A</v>
      </c>
      <c r="W608">
        <v>441</v>
      </c>
      <c r="X608" t="str">
        <f t="shared" si="83"/>
        <v>A441</v>
      </c>
      <c r="Y608">
        <v>3</v>
      </c>
      <c r="Z608" t="str">
        <f>VLOOKUP(Y608, Lookups!$B$14:$C$21, 2, FALSE)</f>
        <v>Dual carriageway</v>
      </c>
      <c r="AA608">
        <v>70</v>
      </c>
      <c r="AB608">
        <v>-1</v>
      </c>
      <c r="AC608">
        <v>-1</v>
      </c>
      <c r="AD608">
        <v>4</v>
      </c>
      <c r="AE608">
        <v>3</v>
      </c>
      <c r="AF608">
        <v>448</v>
      </c>
      <c r="AG608">
        <v>-1</v>
      </c>
      <c r="AH608">
        <v>-1</v>
      </c>
      <c r="AI608">
        <v>0</v>
      </c>
      <c r="AJ608">
        <v>1</v>
      </c>
      <c r="AK608" t="str">
        <f>VLOOKUP(AJ608, Lookups!$B$23:$C$28, 2, FALSE)</f>
        <v>Daylight</v>
      </c>
      <c r="AL608">
        <v>1</v>
      </c>
      <c r="AM608" t="str">
        <f>VLOOKUP(AL608, Lookups!$B$30:$C$39, 2, FALSE)</f>
        <v>Fine / Clear</v>
      </c>
      <c r="AN608">
        <v>4</v>
      </c>
      <c r="AO608" t="str">
        <f>VLOOKUP(AN608, Lookups!$B$41:$C$49, 2, FALSE)</f>
        <v>Frost or ice</v>
      </c>
      <c r="AP608">
        <v>-1</v>
      </c>
      <c r="AQ608">
        <v>-1</v>
      </c>
      <c r="AR608">
        <v>0</v>
      </c>
      <c r="AS608">
        <v>2</v>
      </c>
      <c r="AT608">
        <v>1</v>
      </c>
      <c r="AU608">
        <v>2</v>
      </c>
      <c r="AV608" t="s">
        <v>226</v>
      </c>
      <c r="AW608">
        <v>3</v>
      </c>
      <c r="AX608">
        <v>1</v>
      </c>
      <c r="AY608">
        <v>0</v>
      </c>
      <c r="AZ608">
        <v>1</v>
      </c>
    </row>
    <row r="609" spans="1:52" x14ac:dyDescent="0.35">
      <c r="A609">
        <v>2025221573034</v>
      </c>
      <c r="B609">
        <v>2025</v>
      </c>
      <c r="C609">
        <v>221573034</v>
      </c>
      <c r="D609">
        <v>398595</v>
      </c>
      <c r="E609">
        <v>280217</v>
      </c>
      <c r="F609">
        <v>-2.0220899999999999</v>
      </c>
      <c r="G609">
        <v>52.419939999999997</v>
      </c>
      <c r="H609">
        <v>22</v>
      </c>
      <c r="I609">
        <v>3</v>
      </c>
      <c r="J609" t="str">
        <f>VLOOKUP(I609, Lookups!$B$1:$C$4, 2, FALSE)</f>
        <v>Slight</v>
      </c>
      <c r="K609">
        <v>2</v>
      </c>
      <c r="L609">
        <v>2</v>
      </c>
      <c r="M609" s="1">
        <v>45748</v>
      </c>
      <c r="N609">
        <v>3</v>
      </c>
      <c r="O609" t="str">
        <f>VLOOKUP(N609, Lookups!$B$6:$C$12, 2, FALSE)</f>
        <v>Tuesday</v>
      </c>
      <c r="P609" s="2">
        <v>0.3923611111111111</v>
      </c>
      <c r="Q609">
        <v>-1</v>
      </c>
      <c r="R609" t="s">
        <v>47</v>
      </c>
      <c r="S609" t="s">
        <v>45</v>
      </c>
      <c r="T609" t="s">
        <v>45</v>
      </c>
      <c r="U609">
        <v>1</v>
      </c>
      <c r="V609" t="str">
        <f>VLOOKUP(U609, Lookups!$B$51:$C$57, 2, FALSE)</f>
        <v>M</v>
      </c>
      <c r="W609">
        <v>5</v>
      </c>
      <c r="X609" t="str">
        <f t="shared" si="83"/>
        <v>M5</v>
      </c>
      <c r="Y609">
        <v>3</v>
      </c>
      <c r="Z609" t="str">
        <f>VLOOKUP(Y609, Lookups!$B$14:$C$21, 2, FALSE)</f>
        <v>Dual carriageway</v>
      </c>
      <c r="AA609">
        <v>70</v>
      </c>
      <c r="AB609">
        <v>-1</v>
      </c>
      <c r="AC609">
        <v>0</v>
      </c>
      <c r="AD609">
        <v>-1</v>
      </c>
      <c r="AE609">
        <v>0</v>
      </c>
      <c r="AF609">
        <v>-1</v>
      </c>
      <c r="AG609">
        <v>-1</v>
      </c>
      <c r="AH609">
        <v>-1</v>
      </c>
      <c r="AI609">
        <v>0</v>
      </c>
      <c r="AJ609">
        <v>1</v>
      </c>
      <c r="AK609" t="str">
        <f>VLOOKUP(AJ609, Lookups!$B$23:$C$28, 2, FALSE)</f>
        <v>Daylight</v>
      </c>
      <c r="AL609">
        <v>1</v>
      </c>
      <c r="AM609" t="str">
        <f>VLOOKUP(AL609, Lookups!$B$30:$C$39, 2, FALSE)</f>
        <v>Fine / Clear</v>
      </c>
      <c r="AN609">
        <v>1</v>
      </c>
      <c r="AO609" t="str">
        <f>VLOOKUP(AN609, Lookups!$B$41:$C$49, 2, FALSE)</f>
        <v>Dry</v>
      </c>
      <c r="AP609">
        <v>-1</v>
      </c>
      <c r="AQ609">
        <v>-1</v>
      </c>
      <c r="AR609">
        <v>0</v>
      </c>
      <c r="AS609">
        <v>2</v>
      </c>
      <c r="AT609">
        <v>3</v>
      </c>
      <c r="AU609">
        <v>1</v>
      </c>
      <c r="AV609" t="s">
        <v>149</v>
      </c>
      <c r="AW609">
        <v>3</v>
      </c>
      <c r="AX609">
        <v>1</v>
      </c>
      <c r="AY609">
        <v>0</v>
      </c>
      <c r="AZ609">
        <v>1</v>
      </c>
    </row>
    <row r="610" spans="1:52" x14ac:dyDescent="0.35">
      <c r="A610">
        <v>2025221591213</v>
      </c>
      <c r="B610">
        <v>2025</v>
      </c>
      <c r="C610">
        <v>221591213</v>
      </c>
      <c r="D610">
        <v>389683</v>
      </c>
      <c r="E610">
        <v>258044</v>
      </c>
      <c r="F610">
        <v>-2.1524399999999999</v>
      </c>
      <c r="G610">
        <v>52.220509999999997</v>
      </c>
      <c r="H610">
        <v>22</v>
      </c>
      <c r="I610">
        <v>3</v>
      </c>
      <c r="J610" t="str">
        <f>VLOOKUP(I610, Lookups!$B$1:$C$4, 2, FALSE)</f>
        <v>Slight</v>
      </c>
      <c r="K610">
        <v>2</v>
      </c>
      <c r="L610">
        <v>1</v>
      </c>
      <c r="M610" s="1">
        <v>45794</v>
      </c>
      <c r="N610">
        <v>7</v>
      </c>
      <c r="O610" t="str">
        <f>VLOOKUP(N610, Lookups!$B$6:$C$12, 2, FALSE)</f>
        <v>Saturday</v>
      </c>
      <c r="P610" s="2">
        <v>0.48402777777777778</v>
      </c>
      <c r="Q610">
        <v>-1</v>
      </c>
      <c r="R610" t="s">
        <v>54</v>
      </c>
      <c r="S610" t="s">
        <v>45</v>
      </c>
      <c r="T610" t="s">
        <v>45</v>
      </c>
      <c r="U610">
        <v>6</v>
      </c>
      <c r="V610" t="str">
        <f>VLOOKUP(U610, Lookups!$B$51:$C$57, 2, FALSE)</f>
        <v>Unclassified</v>
      </c>
      <c r="W610">
        <v>0</v>
      </c>
      <c r="X610" t="s">
        <v>362</v>
      </c>
      <c r="Y610">
        <v>6</v>
      </c>
      <c r="Z610" t="str">
        <f>VLOOKUP(Y610, Lookups!$B$14:$C$21, 2, FALSE)</f>
        <v>Single carriageway</v>
      </c>
      <c r="AA610">
        <v>60</v>
      </c>
      <c r="AB610">
        <v>-1</v>
      </c>
      <c r="AC610">
        <v>0</v>
      </c>
      <c r="AD610">
        <v>-1</v>
      </c>
      <c r="AE610">
        <v>0</v>
      </c>
      <c r="AF610">
        <v>-1</v>
      </c>
      <c r="AG610">
        <v>-1</v>
      </c>
      <c r="AH610">
        <v>-1</v>
      </c>
      <c r="AI610">
        <v>0</v>
      </c>
      <c r="AJ610">
        <v>1</v>
      </c>
      <c r="AK610" t="str">
        <f>VLOOKUP(AJ610, Lookups!$B$23:$C$28, 2, FALSE)</f>
        <v>Daylight</v>
      </c>
      <c r="AL610">
        <v>1</v>
      </c>
      <c r="AM610" t="str">
        <f>VLOOKUP(AL610, Lookups!$B$30:$C$39, 2, FALSE)</f>
        <v>Fine / Clear</v>
      </c>
      <c r="AN610">
        <v>1</v>
      </c>
      <c r="AO610" t="str">
        <f>VLOOKUP(AN610, Lookups!$B$41:$C$49, 2, FALSE)</f>
        <v>Dry</v>
      </c>
      <c r="AP610">
        <v>-1</v>
      </c>
      <c r="AQ610">
        <v>-1</v>
      </c>
      <c r="AR610">
        <v>0</v>
      </c>
      <c r="AS610">
        <v>2</v>
      </c>
      <c r="AT610">
        <v>3</v>
      </c>
      <c r="AU610">
        <v>2</v>
      </c>
      <c r="AV610" t="s">
        <v>254</v>
      </c>
      <c r="AW610">
        <v>3</v>
      </c>
      <c r="AX610">
        <v>1</v>
      </c>
      <c r="AY610">
        <v>0</v>
      </c>
      <c r="AZ610">
        <v>1</v>
      </c>
    </row>
    <row r="611" spans="1:52" x14ac:dyDescent="0.35">
      <c r="A611">
        <v>2025221656627</v>
      </c>
      <c r="B611">
        <v>2025</v>
      </c>
      <c r="C611">
        <v>221656627</v>
      </c>
      <c r="D611">
        <v>404160</v>
      </c>
      <c r="E611">
        <v>265988</v>
      </c>
      <c r="F611">
        <v>-1.9404300000000001</v>
      </c>
      <c r="G611">
        <v>52.292009999999998</v>
      </c>
      <c r="H611">
        <v>22</v>
      </c>
      <c r="I611">
        <v>3</v>
      </c>
      <c r="J611" t="str">
        <f>VLOOKUP(I611, Lookups!$B$1:$C$4, 2, FALSE)</f>
        <v>Slight</v>
      </c>
      <c r="K611">
        <v>2</v>
      </c>
      <c r="L611">
        <v>1</v>
      </c>
      <c r="M611" s="1">
        <v>45950</v>
      </c>
      <c r="N611">
        <v>2</v>
      </c>
      <c r="O611" t="str">
        <f>VLOOKUP(N611, Lookups!$B$6:$C$12, 2, FALSE)</f>
        <v>Monday</v>
      </c>
      <c r="P611" s="2">
        <v>0.43402777777777779</v>
      </c>
      <c r="Q611">
        <v>-1</v>
      </c>
      <c r="R611" t="s">
        <v>69</v>
      </c>
      <c r="S611" t="s">
        <v>45</v>
      </c>
      <c r="T611" t="s">
        <v>45</v>
      </c>
      <c r="U611">
        <v>3</v>
      </c>
      <c r="V611" t="str">
        <f>VLOOKUP(U611, Lookups!$B$51:$C$57, 2, FALSE)</f>
        <v>A</v>
      </c>
      <c r="W611">
        <v>448</v>
      </c>
      <c r="X611" t="str">
        <f t="shared" ref="X611:X612" si="84">V611&amp;W611</f>
        <v>A448</v>
      </c>
      <c r="Y611">
        <v>7</v>
      </c>
      <c r="Z611" t="str">
        <f>VLOOKUP(Y611, Lookups!$B$14:$C$21, 2, FALSE)</f>
        <v>Slip road</v>
      </c>
      <c r="AA611">
        <v>70</v>
      </c>
      <c r="AB611">
        <v>-1</v>
      </c>
      <c r="AC611">
        <v>-1</v>
      </c>
      <c r="AD611">
        <v>4</v>
      </c>
      <c r="AE611">
        <v>3</v>
      </c>
      <c r="AF611">
        <v>441</v>
      </c>
      <c r="AG611">
        <v>-1</v>
      </c>
      <c r="AH611">
        <v>-1</v>
      </c>
      <c r="AI611">
        <v>0</v>
      </c>
      <c r="AJ611">
        <v>1</v>
      </c>
      <c r="AK611" t="str">
        <f>VLOOKUP(AJ611, Lookups!$B$23:$C$28, 2, FALSE)</f>
        <v>Daylight</v>
      </c>
      <c r="AL611">
        <v>2</v>
      </c>
      <c r="AM611" t="str">
        <f>VLOOKUP(AL611, Lookups!$B$30:$C$39, 2, FALSE)</f>
        <v>Rain</v>
      </c>
      <c r="AN611">
        <v>2</v>
      </c>
      <c r="AO611" t="str">
        <f>VLOOKUP(AN611, Lookups!$B$41:$C$49, 2, FALSE)</f>
        <v>Wet / damp</v>
      </c>
      <c r="AP611">
        <v>-1</v>
      </c>
      <c r="AQ611">
        <v>-1</v>
      </c>
      <c r="AR611">
        <v>13</v>
      </c>
      <c r="AS611">
        <v>1</v>
      </c>
      <c r="AT611">
        <v>1</v>
      </c>
      <c r="AU611">
        <v>2</v>
      </c>
      <c r="AV611" t="s">
        <v>226</v>
      </c>
      <c r="AW611">
        <v>3</v>
      </c>
      <c r="AX611">
        <v>1</v>
      </c>
      <c r="AY611">
        <v>0</v>
      </c>
      <c r="AZ611">
        <v>1</v>
      </c>
    </row>
    <row r="612" spans="1:52" x14ac:dyDescent="0.35">
      <c r="A612">
        <v>2025221675402</v>
      </c>
      <c r="B612">
        <v>2025</v>
      </c>
      <c r="C612">
        <v>221675402</v>
      </c>
      <c r="D612">
        <v>377894</v>
      </c>
      <c r="E612">
        <v>245991</v>
      </c>
      <c r="F612">
        <v>-2.32422</v>
      </c>
      <c r="G612">
        <v>52.111800000000002</v>
      </c>
      <c r="H612">
        <v>22</v>
      </c>
      <c r="I612">
        <v>2</v>
      </c>
      <c r="J612" t="str">
        <f>VLOOKUP(I612, Lookups!$B$1:$C$4, 2, FALSE)</f>
        <v>Serious</v>
      </c>
      <c r="K612">
        <v>2</v>
      </c>
      <c r="L612">
        <v>1</v>
      </c>
      <c r="M612" s="1">
        <v>45989</v>
      </c>
      <c r="N612">
        <v>6</v>
      </c>
      <c r="O612" t="str">
        <f>VLOOKUP(N612, Lookups!$B$6:$C$12, 2, FALSE)</f>
        <v>Friday</v>
      </c>
      <c r="P612" s="2">
        <v>0.82986111111111116</v>
      </c>
      <c r="Q612">
        <v>-1</v>
      </c>
      <c r="R612" t="s">
        <v>49</v>
      </c>
      <c r="S612" t="s">
        <v>45</v>
      </c>
      <c r="T612" t="s">
        <v>45</v>
      </c>
      <c r="U612">
        <v>4</v>
      </c>
      <c r="V612" t="str">
        <f>VLOOKUP(U612, Lookups!$B$51:$C$57, 2, FALSE)</f>
        <v>B</v>
      </c>
      <c r="W612">
        <v>4211</v>
      </c>
      <c r="X612" t="str">
        <f t="shared" si="84"/>
        <v>B4211</v>
      </c>
      <c r="Y612">
        <v>6</v>
      </c>
      <c r="Z612" t="str">
        <f>VLOOKUP(Y612, Lookups!$B$14:$C$21, 2, FALSE)</f>
        <v>Single carriageway</v>
      </c>
      <c r="AA612">
        <v>30</v>
      </c>
      <c r="AB612">
        <v>-1</v>
      </c>
      <c r="AC612">
        <v>16</v>
      </c>
      <c r="AD612">
        <v>4</v>
      </c>
      <c r="AE612">
        <v>6</v>
      </c>
      <c r="AF612">
        <v>0</v>
      </c>
      <c r="AG612">
        <v>-1</v>
      </c>
      <c r="AH612">
        <v>-1</v>
      </c>
      <c r="AI612">
        <v>0</v>
      </c>
      <c r="AJ612">
        <v>4</v>
      </c>
      <c r="AK612" t="str">
        <f>VLOOKUP(AJ612, Lookups!$B$23:$C$28, 2, FALSE)</f>
        <v>Darkness (Lit)</v>
      </c>
      <c r="AL612">
        <v>2</v>
      </c>
      <c r="AM612" t="str">
        <f>VLOOKUP(AL612, Lookups!$B$30:$C$39, 2, FALSE)</f>
        <v>Rain</v>
      </c>
      <c r="AN612">
        <v>2</v>
      </c>
      <c r="AO612" t="str">
        <f>VLOOKUP(AN612, Lookups!$B$41:$C$49, 2, FALSE)</f>
        <v>Wet / damp</v>
      </c>
      <c r="AP612">
        <v>-1</v>
      </c>
      <c r="AQ612">
        <v>-1</v>
      </c>
      <c r="AR612">
        <v>0</v>
      </c>
      <c r="AS612">
        <v>1</v>
      </c>
      <c r="AT612">
        <v>1</v>
      </c>
      <c r="AU612">
        <v>2</v>
      </c>
      <c r="AV612" t="s">
        <v>102</v>
      </c>
      <c r="AW612">
        <v>7</v>
      </c>
      <c r="AX612">
        <v>1</v>
      </c>
      <c r="AY612">
        <v>1</v>
      </c>
      <c r="AZ612">
        <v>0</v>
      </c>
    </row>
    <row r="613" spans="1:52" x14ac:dyDescent="0.35">
      <c r="A613">
        <v>2025221681900</v>
      </c>
      <c r="B613">
        <v>2025</v>
      </c>
      <c r="C613">
        <v>221681900</v>
      </c>
      <c r="D613">
        <v>387983</v>
      </c>
      <c r="E613">
        <v>278717</v>
      </c>
      <c r="F613">
        <v>-2.17807</v>
      </c>
      <c r="G613">
        <v>52.406329999999997</v>
      </c>
      <c r="H613">
        <v>22</v>
      </c>
      <c r="I613">
        <v>2</v>
      </c>
      <c r="J613" t="str">
        <f>VLOOKUP(I613, Lookups!$B$1:$C$4, 2, FALSE)</f>
        <v>Serious</v>
      </c>
      <c r="K613">
        <v>2</v>
      </c>
      <c r="L613">
        <v>1</v>
      </c>
      <c r="M613" s="1">
        <v>46003</v>
      </c>
      <c r="N613">
        <v>6</v>
      </c>
      <c r="O613" t="str">
        <f>VLOOKUP(N613, Lookups!$B$6:$C$12, 2, FALSE)</f>
        <v>Friday</v>
      </c>
      <c r="P613" s="2">
        <v>0.34722222222222221</v>
      </c>
      <c r="Q613">
        <v>-1</v>
      </c>
      <c r="R613" t="s">
        <v>44</v>
      </c>
      <c r="S613" t="s">
        <v>45</v>
      </c>
      <c r="T613" t="s">
        <v>45</v>
      </c>
      <c r="U613">
        <v>6</v>
      </c>
      <c r="V613" t="str">
        <f>VLOOKUP(U613, Lookups!$B$51:$C$57, 2, FALSE)</f>
        <v>Unclassified</v>
      </c>
      <c r="W613">
        <v>0</v>
      </c>
      <c r="X613" t="s">
        <v>362</v>
      </c>
      <c r="Y613">
        <v>6</v>
      </c>
      <c r="Z613" t="str">
        <f>VLOOKUP(Y613, Lookups!$B$14:$C$21, 2, FALSE)</f>
        <v>Single carriageway</v>
      </c>
      <c r="AA613">
        <v>30</v>
      </c>
      <c r="AB613">
        <v>-1</v>
      </c>
      <c r="AC613">
        <v>13</v>
      </c>
      <c r="AD613">
        <v>4</v>
      </c>
      <c r="AE613">
        <v>6</v>
      </c>
      <c r="AF613">
        <v>0</v>
      </c>
      <c r="AG613">
        <v>-1</v>
      </c>
      <c r="AH613">
        <v>-1</v>
      </c>
      <c r="AI613">
        <v>0</v>
      </c>
      <c r="AJ613">
        <v>1</v>
      </c>
      <c r="AK613" t="str">
        <f>VLOOKUP(AJ613, Lookups!$B$23:$C$28, 2, FALSE)</f>
        <v>Daylight</v>
      </c>
      <c r="AL613">
        <v>2</v>
      </c>
      <c r="AM613" t="str">
        <f>VLOOKUP(AL613, Lookups!$B$30:$C$39, 2, FALSE)</f>
        <v>Rain</v>
      </c>
      <c r="AN613">
        <v>2</v>
      </c>
      <c r="AO613" t="str">
        <f>VLOOKUP(AN613, Lookups!$B$41:$C$49, 2, FALSE)</f>
        <v>Wet / damp</v>
      </c>
      <c r="AP613">
        <v>-1</v>
      </c>
      <c r="AQ613">
        <v>-1</v>
      </c>
      <c r="AR613">
        <v>0</v>
      </c>
      <c r="AS613">
        <v>2</v>
      </c>
      <c r="AT613">
        <v>1</v>
      </c>
      <c r="AU613">
        <v>2</v>
      </c>
      <c r="AV613" t="s">
        <v>80</v>
      </c>
      <c r="AW613">
        <v>7</v>
      </c>
      <c r="AX613">
        <v>1</v>
      </c>
      <c r="AY613">
        <v>1</v>
      </c>
      <c r="AZ613">
        <v>0</v>
      </c>
    </row>
    <row r="614" spans="1:52" x14ac:dyDescent="0.35">
      <c r="A614">
        <v>2025221644860</v>
      </c>
      <c r="B614">
        <v>2025</v>
      </c>
      <c r="C614">
        <v>221644860</v>
      </c>
      <c r="D614">
        <v>384577</v>
      </c>
      <c r="E614">
        <v>256295</v>
      </c>
      <c r="F614">
        <v>-2.2271000000000001</v>
      </c>
      <c r="G614">
        <v>52.204659999999997</v>
      </c>
      <c r="H614">
        <v>22</v>
      </c>
      <c r="I614">
        <v>3</v>
      </c>
      <c r="J614" t="str">
        <f>VLOOKUP(I614, Lookups!$B$1:$C$4, 2, FALSE)</f>
        <v>Slight</v>
      </c>
      <c r="K614">
        <v>2</v>
      </c>
      <c r="L614">
        <v>1</v>
      </c>
      <c r="M614" s="1">
        <v>45919</v>
      </c>
      <c r="N614">
        <v>6</v>
      </c>
      <c r="O614" t="str">
        <f>VLOOKUP(N614, Lookups!$B$6:$C$12, 2, FALSE)</f>
        <v>Friday</v>
      </c>
      <c r="P614" s="2">
        <v>0.79027777777777775</v>
      </c>
      <c r="Q614">
        <v>-1</v>
      </c>
      <c r="R614" t="s">
        <v>60</v>
      </c>
      <c r="S614" t="s">
        <v>45</v>
      </c>
      <c r="T614" t="s">
        <v>45</v>
      </c>
      <c r="U614">
        <v>3</v>
      </c>
      <c r="V614" t="str">
        <f>VLOOKUP(U614, Lookups!$B$51:$C$57, 2, FALSE)</f>
        <v>A</v>
      </c>
      <c r="W614">
        <v>38</v>
      </c>
      <c r="X614" t="str">
        <f>V614&amp;W614</f>
        <v>A38</v>
      </c>
      <c r="Y614">
        <v>6</v>
      </c>
      <c r="Z614" t="str">
        <f>VLOOKUP(Y614, Lookups!$B$14:$C$21, 2, FALSE)</f>
        <v>Single carriageway</v>
      </c>
      <c r="AA614">
        <v>30</v>
      </c>
      <c r="AB614">
        <v>-1</v>
      </c>
      <c r="AC614">
        <v>13</v>
      </c>
      <c r="AD614">
        <v>4</v>
      </c>
      <c r="AE614">
        <v>6</v>
      </c>
      <c r="AF614">
        <v>0</v>
      </c>
      <c r="AG614">
        <v>-1</v>
      </c>
      <c r="AH614">
        <v>-1</v>
      </c>
      <c r="AI614">
        <v>0</v>
      </c>
      <c r="AJ614">
        <v>1</v>
      </c>
      <c r="AK614" t="str">
        <f>VLOOKUP(AJ614, Lookups!$B$23:$C$28, 2, FALSE)</f>
        <v>Daylight</v>
      </c>
      <c r="AL614">
        <v>1</v>
      </c>
      <c r="AM614" t="str">
        <f>VLOOKUP(AL614, Lookups!$B$30:$C$39, 2, FALSE)</f>
        <v>Fine / Clear</v>
      </c>
      <c r="AN614">
        <v>1</v>
      </c>
      <c r="AO614" t="str">
        <f>VLOOKUP(AN614, Lookups!$B$41:$C$49, 2, FALSE)</f>
        <v>Dry</v>
      </c>
      <c r="AP614">
        <v>-1</v>
      </c>
      <c r="AQ614">
        <v>-1</v>
      </c>
      <c r="AR614">
        <v>0</v>
      </c>
      <c r="AS614">
        <v>1</v>
      </c>
      <c r="AT614">
        <v>1</v>
      </c>
      <c r="AU614">
        <v>2</v>
      </c>
      <c r="AV614" t="s">
        <v>205</v>
      </c>
      <c r="AW614">
        <v>3</v>
      </c>
      <c r="AX614">
        <v>1</v>
      </c>
      <c r="AY614">
        <v>0</v>
      </c>
      <c r="AZ614">
        <v>1</v>
      </c>
    </row>
    <row r="615" spans="1:52" x14ac:dyDescent="0.35">
      <c r="A615">
        <v>2025221573635</v>
      </c>
      <c r="B615">
        <v>2025</v>
      </c>
      <c r="C615">
        <v>221573635</v>
      </c>
      <c r="D615">
        <v>381552</v>
      </c>
      <c r="E615">
        <v>271505</v>
      </c>
      <c r="F615">
        <v>-2.2722000000000002</v>
      </c>
      <c r="G615">
        <v>52.34131</v>
      </c>
      <c r="H615">
        <v>22</v>
      </c>
      <c r="I615">
        <v>3</v>
      </c>
      <c r="J615" t="str">
        <f>VLOOKUP(I615, Lookups!$B$1:$C$4, 2, FALSE)</f>
        <v>Slight</v>
      </c>
      <c r="K615">
        <v>2</v>
      </c>
      <c r="L615">
        <v>1</v>
      </c>
      <c r="M615" s="1">
        <v>45746</v>
      </c>
      <c r="N615">
        <v>1</v>
      </c>
      <c r="O615" t="str">
        <f>VLOOKUP(N615, Lookups!$B$6:$C$12, 2, FALSE)</f>
        <v>Sunday</v>
      </c>
      <c r="P615" s="2">
        <v>0.52638888888888891</v>
      </c>
      <c r="Q615">
        <v>-1</v>
      </c>
      <c r="R615" t="s">
        <v>44</v>
      </c>
      <c r="S615" t="s">
        <v>45</v>
      </c>
      <c r="T615" t="s">
        <v>45</v>
      </c>
      <c r="U615">
        <v>6</v>
      </c>
      <c r="V615" t="str">
        <f>VLOOKUP(U615, Lookups!$B$51:$C$57, 2, FALSE)</f>
        <v>Unclassified</v>
      </c>
      <c r="W615">
        <v>0</v>
      </c>
      <c r="X615" t="s">
        <v>362</v>
      </c>
      <c r="Y615">
        <v>6</v>
      </c>
      <c r="Z615" t="str">
        <f>VLOOKUP(Y615, Lookups!$B$14:$C$21, 2, FALSE)</f>
        <v>Single carriageway</v>
      </c>
      <c r="AA615">
        <v>30</v>
      </c>
      <c r="AB615">
        <v>-1</v>
      </c>
      <c r="AC615">
        <v>18</v>
      </c>
      <c r="AD615">
        <v>4</v>
      </c>
      <c r="AE615">
        <v>6</v>
      </c>
      <c r="AF615">
        <v>0</v>
      </c>
      <c r="AG615">
        <v>-1</v>
      </c>
      <c r="AH615">
        <v>-1</v>
      </c>
      <c r="AI615">
        <v>0</v>
      </c>
      <c r="AJ615">
        <v>1</v>
      </c>
      <c r="AK615" t="str">
        <f>VLOOKUP(AJ615, Lookups!$B$23:$C$28, 2, FALSE)</f>
        <v>Daylight</v>
      </c>
      <c r="AL615">
        <v>1</v>
      </c>
      <c r="AM615" t="str">
        <f>VLOOKUP(AL615, Lookups!$B$30:$C$39, 2, FALSE)</f>
        <v>Fine / Clear</v>
      </c>
      <c r="AN615">
        <v>1</v>
      </c>
      <c r="AO615" t="str">
        <f>VLOOKUP(AN615, Lookups!$B$41:$C$49, 2, FALSE)</f>
        <v>Dry</v>
      </c>
      <c r="AP615">
        <v>-1</v>
      </c>
      <c r="AQ615">
        <v>-1</v>
      </c>
      <c r="AR615">
        <v>0</v>
      </c>
      <c r="AS615">
        <v>1</v>
      </c>
      <c r="AT615">
        <v>1</v>
      </c>
      <c r="AU615">
        <v>2</v>
      </c>
      <c r="AV615" t="s">
        <v>117</v>
      </c>
      <c r="AW615">
        <v>3</v>
      </c>
      <c r="AX615">
        <v>1</v>
      </c>
      <c r="AY615">
        <v>0</v>
      </c>
      <c r="AZ615">
        <v>1</v>
      </c>
    </row>
    <row r="616" spans="1:52" x14ac:dyDescent="0.35">
      <c r="A616">
        <v>2025221636688</v>
      </c>
      <c r="B616">
        <v>2025</v>
      </c>
      <c r="C616">
        <v>221636688</v>
      </c>
      <c r="D616">
        <v>383452</v>
      </c>
      <c r="E616">
        <v>277119</v>
      </c>
      <c r="F616">
        <v>-2.2445900000000001</v>
      </c>
      <c r="G616">
        <v>52.391840000000002</v>
      </c>
      <c r="H616">
        <v>22</v>
      </c>
      <c r="I616">
        <v>2</v>
      </c>
      <c r="J616" t="str">
        <f>VLOOKUP(I616, Lookups!$B$1:$C$4, 2, FALSE)</f>
        <v>Serious</v>
      </c>
      <c r="K616">
        <v>2</v>
      </c>
      <c r="L616">
        <v>2</v>
      </c>
      <c r="M616" s="1">
        <v>45903</v>
      </c>
      <c r="N616">
        <v>4</v>
      </c>
      <c r="O616" t="str">
        <f>VLOOKUP(N616, Lookups!$B$6:$C$12, 2, FALSE)</f>
        <v>Wednesday</v>
      </c>
      <c r="P616" s="2">
        <v>0.37222222222222223</v>
      </c>
      <c r="Q616">
        <v>-1</v>
      </c>
      <c r="R616" t="s">
        <v>44</v>
      </c>
      <c r="S616" t="s">
        <v>45</v>
      </c>
      <c r="T616" t="s">
        <v>45</v>
      </c>
      <c r="U616">
        <v>6</v>
      </c>
      <c r="V616" t="str">
        <f>VLOOKUP(U616, Lookups!$B$51:$C$57, 2, FALSE)</f>
        <v>Unclassified</v>
      </c>
      <c r="W616">
        <v>0</v>
      </c>
      <c r="X616" t="s">
        <v>362</v>
      </c>
      <c r="Y616">
        <v>6</v>
      </c>
      <c r="Z616" t="str">
        <f>VLOOKUP(Y616, Lookups!$B$14:$C$21, 2, FALSE)</f>
        <v>Single carriageway</v>
      </c>
      <c r="AA616">
        <v>30</v>
      </c>
      <c r="AB616">
        <v>-1</v>
      </c>
      <c r="AC616">
        <v>19</v>
      </c>
      <c r="AD616">
        <v>4</v>
      </c>
      <c r="AE616">
        <v>6</v>
      </c>
      <c r="AF616">
        <v>0</v>
      </c>
      <c r="AG616">
        <v>-1</v>
      </c>
      <c r="AH616">
        <v>-1</v>
      </c>
      <c r="AI616">
        <v>0</v>
      </c>
      <c r="AJ616">
        <v>1</v>
      </c>
      <c r="AK616" t="str">
        <f>VLOOKUP(AJ616, Lookups!$B$23:$C$28, 2, FALSE)</f>
        <v>Daylight</v>
      </c>
      <c r="AL616">
        <v>1</v>
      </c>
      <c r="AM616" t="str">
        <f>VLOOKUP(AL616, Lookups!$B$30:$C$39, 2, FALSE)</f>
        <v>Fine / Clear</v>
      </c>
      <c r="AN616">
        <v>1</v>
      </c>
      <c r="AO616" t="str">
        <f>VLOOKUP(AN616, Lookups!$B$41:$C$49, 2, FALSE)</f>
        <v>Dry</v>
      </c>
      <c r="AP616">
        <v>-1</v>
      </c>
      <c r="AQ616">
        <v>-1</v>
      </c>
      <c r="AR616">
        <v>0</v>
      </c>
      <c r="AS616">
        <v>1</v>
      </c>
      <c r="AT616">
        <v>1</v>
      </c>
      <c r="AU616">
        <v>2</v>
      </c>
      <c r="AV616" t="s">
        <v>296</v>
      </c>
      <c r="AW616">
        <v>7</v>
      </c>
      <c r="AX616">
        <v>1</v>
      </c>
      <c r="AY616">
        <v>1</v>
      </c>
      <c r="AZ616">
        <v>0</v>
      </c>
    </row>
    <row r="617" spans="1:52" x14ac:dyDescent="0.35">
      <c r="A617">
        <v>2025221686612</v>
      </c>
      <c r="B617">
        <v>2025</v>
      </c>
      <c r="C617">
        <v>221686612</v>
      </c>
      <c r="D617">
        <v>402455</v>
      </c>
      <c r="E617">
        <v>246328</v>
      </c>
      <c r="F617">
        <v>-1.96556</v>
      </c>
      <c r="G617">
        <v>52.115270000000002</v>
      </c>
      <c r="H617">
        <v>22</v>
      </c>
      <c r="I617">
        <v>1</v>
      </c>
      <c r="J617" t="str">
        <f>VLOOKUP(I617, Lookups!$B$1:$C$4, 2, FALSE)</f>
        <v>Fatal</v>
      </c>
      <c r="K617">
        <v>2</v>
      </c>
      <c r="L617">
        <v>1</v>
      </c>
      <c r="M617" s="1">
        <v>46013</v>
      </c>
      <c r="N617">
        <v>2</v>
      </c>
      <c r="O617" t="str">
        <f>VLOOKUP(N617, Lookups!$B$6:$C$12, 2, FALSE)</f>
        <v>Monday</v>
      </c>
      <c r="P617" s="2">
        <v>0.32013888888888886</v>
      </c>
      <c r="Q617">
        <v>-1</v>
      </c>
      <c r="R617" t="s">
        <v>54</v>
      </c>
      <c r="S617" t="s">
        <v>45</v>
      </c>
      <c r="T617" t="s">
        <v>45</v>
      </c>
      <c r="U617">
        <v>3</v>
      </c>
      <c r="V617" t="str">
        <f>VLOOKUP(U617, Lookups!$B$51:$C$57, 2, FALSE)</f>
        <v>A</v>
      </c>
      <c r="W617">
        <v>44</v>
      </c>
      <c r="X617" t="str">
        <f>V617&amp;W617</f>
        <v>A44</v>
      </c>
      <c r="Y617">
        <v>6</v>
      </c>
      <c r="Z617" t="str">
        <f>VLOOKUP(Y617, Lookups!$B$14:$C$21, 2, FALSE)</f>
        <v>Single carriageway</v>
      </c>
      <c r="AA617">
        <v>60</v>
      </c>
      <c r="AB617">
        <v>-1</v>
      </c>
      <c r="AC617">
        <v>13</v>
      </c>
      <c r="AD617">
        <v>4</v>
      </c>
      <c r="AE617">
        <v>6</v>
      </c>
      <c r="AF617">
        <v>0</v>
      </c>
      <c r="AG617">
        <v>-1</v>
      </c>
      <c r="AH617">
        <v>-1</v>
      </c>
      <c r="AI617">
        <v>0</v>
      </c>
      <c r="AJ617">
        <v>1</v>
      </c>
      <c r="AK617" t="str">
        <f>VLOOKUP(AJ617, Lookups!$B$23:$C$28, 2, FALSE)</f>
        <v>Daylight</v>
      </c>
      <c r="AL617">
        <v>1</v>
      </c>
      <c r="AM617" t="str">
        <f>VLOOKUP(AL617, Lookups!$B$30:$C$39, 2, FALSE)</f>
        <v>Fine / Clear</v>
      </c>
      <c r="AN617">
        <v>1</v>
      </c>
      <c r="AO617" t="str">
        <f>VLOOKUP(AN617, Lookups!$B$41:$C$49, 2, FALSE)</f>
        <v>Dry</v>
      </c>
      <c r="AP617">
        <v>-1</v>
      </c>
      <c r="AQ617">
        <v>-1</v>
      </c>
      <c r="AR617">
        <v>0</v>
      </c>
      <c r="AS617">
        <v>2</v>
      </c>
      <c r="AT617">
        <v>1</v>
      </c>
      <c r="AU617">
        <v>2</v>
      </c>
      <c r="AV617" t="s">
        <v>58</v>
      </c>
      <c r="AW617">
        <v>1</v>
      </c>
      <c r="AX617">
        <v>1</v>
      </c>
      <c r="AY617">
        <v>0</v>
      </c>
      <c r="AZ617">
        <v>0</v>
      </c>
    </row>
    <row r="618" spans="1:52" x14ac:dyDescent="0.35">
      <c r="A618">
        <v>2025221676873</v>
      </c>
      <c r="B618">
        <v>2025</v>
      </c>
      <c r="C618">
        <v>221676873</v>
      </c>
      <c r="D618">
        <v>403782</v>
      </c>
      <c r="E618">
        <v>244357</v>
      </c>
      <c r="F618">
        <v>-1.94621</v>
      </c>
      <c r="G618">
        <v>52.097540000000002</v>
      </c>
      <c r="H618">
        <v>22</v>
      </c>
      <c r="I618">
        <v>3</v>
      </c>
      <c r="J618" t="str">
        <f>VLOOKUP(I618, Lookups!$B$1:$C$4, 2, FALSE)</f>
        <v>Slight</v>
      </c>
      <c r="K618">
        <v>1</v>
      </c>
      <c r="L618">
        <v>1</v>
      </c>
      <c r="M618" s="1">
        <v>45992</v>
      </c>
      <c r="N618">
        <v>2</v>
      </c>
      <c r="O618" t="str">
        <f>VLOOKUP(N618, Lookups!$B$6:$C$12, 2, FALSE)</f>
        <v>Monday</v>
      </c>
      <c r="P618" s="2">
        <v>0.64236111111111116</v>
      </c>
      <c r="Q618">
        <v>-1</v>
      </c>
      <c r="R618" t="s">
        <v>54</v>
      </c>
      <c r="S618" t="s">
        <v>45</v>
      </c>
      <c r="T618" t="s">
        <v>45</v>
      </c>
      <c r="U618">
        <v>6</v>
      </c>
      <c r="V618" t="str">
        <f>VLOOKUP(U618, Lookups!$B$51:$C$57, 2, FALSE)</f>
        <v>Unclassified</v>
      </c>
      <c r="W618">
        <v>0</v>
      </c>
      <c r="X618" t="s">
        <v>362</v>
      </c>
      <c r="Y618">
        <v>6</v>
      </c>
      <c r="Z618" t="str">
        <f>VLOOKUP(Y618, Lookups!$B$14:$C$21, 2, FALSE)</f>
        <v>Single carriageway</v>
      </c>
      <c r="AA618">
        <v>30</v>
      </c>
      <c r="AB618">
        <v>-1</v>
      </c>
      <c r="AC618">
        <v>13</v>
      </c>
      <c r="AD618">
        <v>4</v>
      </c>
      <c r="AE618">
        <v>3</v>
      </c>
      <c r="AF618">
        <v>4184</v>
      </c>
      <c r="AG618">
        <v>-1</v>
      </c>
      <c r="AH618">
        <v>-1</v>
      </c>
      <c r="AI618">
        <v>0</v>
      </c>
      <c r="AJ618">
        <v>1</v>
      </c>
      <c r="AK618" t="str">
        <f>VLOOKUP(AJ618, Lookups!$B$23:$C$28, 2, FALSE)</f>
        <v>Daylight</v>
      </c>
      <c r="AL618">
        <v>2</v>
      </c>
      <c r="AM618" t="str">
        <f>VLOOKUP(AL618, Lookups!$B$30:$C$39, 2, FALSE)</f>
        <v>Rain</v>
      </c>
      <c r="AN618">
        <v>2</v>
      </c>
      <c r="AO618" t="str">
        <f>VLOOKUP(AN618, Lookups!$B$41:$C$49, 2, FALSE)</f>
        <v>Wet / damp</v>
      </c>
      <c r="AP618">
        <v>-1</v>
      </c>
      <c r="AQ618">
        <v>-1</v>
      </c>
      <c r="AR618">
        <v>0</v>
      </c>
      <c r="AS618">
        <v>1</v>
      </c>
      <c r="AT618">
        <v>3</v>
      </c>
      <c r="AU618">
        <v>2</v>
      </c>
      <c r="AV618" t="s">
        <v>106</v>
      </c>
      <c r="AW618">
        <v>3</v>
      </c>
      <c r="AX618">
        <v>1</v>
      </c>
      <c r="AY618">
        <v>0</v>
      </c>
      <c r="AZ618">
        <v>1</v>
      </c>
    </row>
    <row r="619" spans="1:52" x14ac:dyDescent="0.35">
      <c r="A619">
        <v>2025221537004</v>
      </c>
      <c r="B619">
        <v>2025</v>
      </c>
      <c r="C619">
        <v>221537004</v>
      </c>
      <c r="D619">
        <v>385308</v>
      </c>
      <c r="E619">
        <v>251699</v>
      </c>
      <c r="F619">
        <v>-2.2162000000000002</v>
      </c>
      <c r="G619">
        <v>52.163359999999997</v>
      </c>
      <c r="H619">
        <v>22</v>
      </c>
      <c r="I619">
        <v>3</v>
      </c>
      <c r="J619" t="str">
        <f>VLOOKUP(I619, Lookups!$B$1:$C$4, 2, FALSE)</f>
        <v>Slight</v>
      </c>
      <c r="K619">
        <v>2</v>
      </c>
      <c r="L619">
        <v>1</v>
      </c>
      <c r="M619" s="1">
        <v>45659</v>
      </c>
      <c r="N619">
        <v>5</v>
      </c>
      <c r="O619" t="str">
        <f>VLOOKUP(N619, Lookups!$B$6:$C$12, 2, FALSE)</f>
        <v>Thursday</v>
      </c>
      <c r="P619" s="2">
        <v>0.74791666666666667</v>
      </c>
      <c r="Q619">
        <v>-1</v>
      </c>
      <c r="R619" t="s">
        <v>60</v>
      </c>
      <c r="S619" t="s">
        <v>45</v>
      </c>
      <c r="T619" t="s">
        <v>45</v>
      </c>
      <c r="U619">
        <v>3</v>
      </c>
      <c r="V619" t="str">
        <f>VLOOKUP(U619, Lookups!$B$51:$C$57, 2, FALSE)</f>
        <v>A</v>
      </c>
      <c r="W619">
        <v>38</v>
      </c>
      <c r="X619" t="str">
        <f t="shared" ref="X619:X620" si="85">V619&amp;W619</f>
        <v>A38</v>
      </c>
      <c r="Y619">
        <v>1</v>
      </c>
      <c r="Z619" t="str">
        <f>VLOOKUP(Y619, Lookups!$B$14:$C$21, 2, FALSE)</f>
        <v>Roundabout</v>
      </c>
      <c r="AA619">
        <v>40</v>
      </c>
      <c r="AB619">
        <v>-1</v>
      </c>
      <c r="AC619">
        <v>-1</v>
      </c>
      <c r="AD619">
        <v>4</v>
      </c>
      <c r="AE619">
        <v>3</v>
      </c>
      <c r="AF619">
        <v>4440</v>
      </c>
      <c r="AG619">
        <v>-1</v>
      </c>
      <c r="AH619">
        <v>-1</v>
      </c>
      <c r="AI619">
        <v>14</v>
      </c>
      <c r="AJ619">
        <v>4</v>
      </c>
      <c r="AK619" t="str">
        <f>VLOOKUP(AJ619, Lookups!$B$23:$C$28, 2, FALSE)</f>
        <v>Darkness (Lit)</v>
      </c>
      <c r="AL619">
        <v>1</v>
      </c>
      <c r="AM619" t="str">
        <f>VLOOKUP(AL619, Lookups!$B$30:$C$39, 2, FALSE)</f>
        <v>Fine / Clear</v>
      </c>
      <c r="AN619">
        <v>2</v>
      </c>
      <c r="AO619" t="str">
        <f>VLOOKUP(AN619, Lookups!$B$41:$C$49, 2, FALSE)</f>
        <v>Wet / damp</v>
      </c>
      <c r="AP619">
        <v>-1</v>
      </c>
      <c r="AQ619">
        <v>-1</v>
      </c>
      <c r="AR619">
        <v>0</v>
      </c>
      <c r="AS619">
        <v>2</v>
      </c>
      <c r="AT619">
        <v>1</v>
      </c>
      <c r="AU619">
        <v>2</v>
      </c>
      <c r="AV619" t="s">
        <v>297</v>
      </c>
      <c r="AW619">
        <v>3</v>
      </c>
      <c r="AX619">
        <v>1</v>
      </c>
      <c r="AY619">
        <v>0</v>
      </c>
      <c r="AZ619">
        <v>1</v>
      </c>
    </row>
    <row r="620" spans="1:52" x14ac:dyDescent="0.35">
      <c r="A620">
        <v>2025221545508</v>
      </c>
      <c r="B620">
        <v>2025</v>
      </c>
      <c r="C620">
        <v>221545508</v>
      </c>
      <c r="D620">
        <v>378806</v>
      </c>
      <c r="E620">
        <v>246791</v>
      </c>
      <c r="F620">
        <v>-2.3109500000000001</v>
      </c>
      <c r="G620">
        <v>52.119030000000002</v>
      </c>
      <c r="H620">
        <v>22</v>
      </c>
      <c r="I620">
        <v>3</v>
      </c>
      <c r="J620" t="str">
        <f>VLOOKUP(I620, Lookups!$B$1:$C$4, 2, FALSE)</f>
        <v>Slight</v>
      </c>
      <c r="K620">
        <v>2</v>
      </c>
      <c r="L620">
        <v>1</v>
      </c>
      <c r="M620" s="1">
        <v>45680</v>
      </c>
      <c r="N620">
        <v>5</v>
      </c>
      <c r="O620" t="str">
        <f>VLOOKUP(N620, Lookups!$B$6:$C$12, 2, FALSE)</f>
        <v>Thursday</v>
      </c>
      <c r="P620" s="2">
        <v>0.78333333333333333</v>
      </c>
      <c r="Q620">
        <v>-1</v>
      </c>
      <c r="R620" t="s">
        <v>49</v>
      </c>
      <c r="S620" t="s">
        <v>45</v>
      </c>
      <c r="T620" t="s">
        <v>45</v>
      </c>
      <c r="U620">
        <v>4</v>
      </c>
      <c r="V620" t="str">
        <f>VLOOKUP(U620, Lookups!$B$51:$C$57, 2, FALSE)</f>
        <v>B</v>
      </c>
      <c r="W620">
        <v>4208</v>
      </c>
      <c r="X620" t="str">
        <f t="shared" si="85"/>
        <v>B4208</v>
      </c>
      <c r="Y620">
        <v>6</v>
      </c>
      <c r="Z620" t="str">
        <f>VLOOKUP(Y620, Lookups!$B$14:$C$21, 2, FALSE)</f>
        <v>Single carriageway</v>
      </c>
      <c r="AA620">
        <v>30</v>
      </c>
      <c r="AB620">
        <v>-1</v>
      </c>
      <c r="AC620">
        <v>16</v>
      </c>
      <c r="AD620">
        <v>2</v>
      </c>
      <c r="AE620">
        <v>4</v>
      </c>
      <c r="AF620">
        <v>4208</v>
      </c>
      <c r="AG620">
        <v>-1</v>
      </c>
      <c r="AH620">
        <v>-1</v>
      </c>
      <c r="AI620">
        <v>15</v>
      </c>
      <c r="AJ620">
        <v>4</v>
      </c>
      <c r="AK620" t="str">
        <f>VLOOKUP(AJ620, Lookups!$B$23:$C$28, 2, FALSE)</f>
        <v>Darkness (Lit)</v>
      </c>
      <c r="AL620">
        <v>1</v>
      </c>
      <c r="AM620" t="str">
        <f>VLOOKUP(AL620, Lookups!$B$30:$C$39, 2, FALSE)</f>
        <v>Fine / Clear</v>
      </c>
      <c r="AN620">
        <v>1</v>
      </c>
      <c r="AO620" t="str">
        <f>VLOOKUP(AN620, Lookups!$B$41:$C$49, 2, FALSE)</f>
        <v>Dry</v>
      </c>
      <c r="AP620">
        <v>-1</v>
      </c>
      <c r="AQ620">
        <v>-1</v>
      </c>
      <c r="AR620">
        <v>0</v>
      </c>
      <c r="AS620">
        <v>1</v>
      </c>
      <c r="AT620">
        <v>1</v>
      </c>
      <c r="AU620">
        <v>2</v>
      </c>
      <c r="AV620" t="s">
        <v>298</v>
      </c>
      <c r="AW620">
        <v>3</v>
      </c>
      <c r="AX620">
        <v>1</v>
      </c>
      <c r="AY620">
        <v>0</v>
      </c>
      <c r="AZ620">
        <v>1</v>
      </c>
    </row>
    <row r="621" spans="1:52" x14ac:dyDescent="0.35">
      <c r="A621">
        <v>2025221548170</v>
      </c>
      <c r="B621">
        <v>2025</v>
      </c>
      <c r="C621">
        <v>221548170</v>
      </c>
      <c r="D621">
        <v>396178</v>
      </c>
      <c r="E621">
        <v>269233</v>
      </c>
      <c r="F621">
        <v>-2.0575000000000001</v>
      </c>
      <c r="G621">
        <v>52.321179999999998</v>
      </c>
      <c r="H621">
        <v>22</v>
      </c>
      <c r="I621">
        <v>3</v>
      </c>
      <c r="J621" t="str">
        <f>VLOOKUP(I621, Lookups!$B$1:$C$4, 2, FALSE)</f>
        <v>Slight</v>
      </c>
      <c r="K621">
        <v>1</v>
      </c>
      <c r="L621">
        <v>1</v>
      </c>
      <c r="M621" s="1">
        <v>45685</v>
      </c>
      <c r="N621">
        <v>3</v>
      </c>
      <c r="O621" t="str">
        <f>VLOOKUP(N621, Lookups!$B$6:$C$12, 2, FALSE)</f>
        <v>Tuesday</v>
      </c>
      <c r="P621" s="2">
        <v>0.29722222222222222</v>
      </c>
      <c r="Q621">
        <v>-1</v>
      </c>
      <c r="R621" t="s">
        <v>47</v>
      </c>
      <c r="S621" t="s">
        <v>45</v>
      </c>
      <c r="T621" t="s">
        <v>45</v>
      </c>
      <c r="U621">
        <v>6</v>
      </c>
      <c r="V621" t="str">
        <f>VLOOKUP(U621, Lookups!$B$51:$C$57, 2, FALSE)</f>
        <v>Unclassified</v>
      </c>
      <c r="W621">
        <v>0</v>
      </c>
      <c r="X621" t="s">
        <v>362</v>
      </c>
      <c r="Y621">
        <v>6</v>
      </c>
      <c r="Z621" t="str">
        <f>VLOOKUP(Y621, Lookups!$B$14:$C$21, 2, FALSE)</f>
        <v>Single carriageway</v>
      </c>
      <c r="AA621">
        <v>30</v>
      </c>
      <c r="AB621">
        <v>-1</v>
      </c>
      <c r="AC621">
        <v>19</v>
      </c>
      <c r="AD621">
        <v>4</v>
      </c>
      <c r="AE621">
        <v>6</v>
      </c>
      <c r="AF621">
        <v>0</v>
      </c>
      <c r="AG621">
        <v>-1</v>
      </c>
      <c r="AH621">
        <v>-1</v>
      </c>
      <c r="AI621">
        <v>0</v>
      </c>
      <c r="AJ621">
        <v>6</v>
      </c>
      <c r="AK621" t="str">
        <f>VLOOKUP(AJ621, Lookups!$B$23:$C$28, 2, FALSE)</f>
        <v>Darkness (Unlit)</v>
      </c>
      <c r="AL621">
        <v>2</v>
      </c>
      <c r="AM621" t="str">
        <f>VLOOKUP(AL621, Lookups!$B$30:$C$39, 2, FALSE)</f>
        <v>Rain</v>
      </c>
      <c r="AN621">
        <v>2</v>
      </c>
      <c r="AO621" t="str">
        <f>VLOOKUP(AN621, Lookups!$B$41:$C$49, 2, FALSE)</f>
        <v>Wet / damp</v>
      </c>
      <c r="AP621">
        <v>-1</v>
      </c>
      <c r="AQ621">
        <v>-1</v>
      </c>
      <c r="AR621">
        <v>0</v>
      </c>
      <c r="AS621">
        <v>1</v>
      </c>
      <c r="AT621">
        <v>1</v>
      </c>
      <c r="AU621">
        <v>2</v>
      </c>
      <c r="AV621" t="s">
        <v>194</v>
      </c>
      <c r="AW621">
        <v>3</v>
      </c>
      <c r="AX621">
        <v>1</v>
      </c>
      <c r="AY621">
        <v>0</v>
      </c>
      <c r="AZ621">
        <v>1</v>
      </c>
    </row>
    <row r="622" spans="1:52" x14ac:dyDescent="0.35">
      <c r="A622">
        <v>2025221616679</v>
      </c>
      <c r="B622">
        <v>2025</v>
      </c>
      <c r="C622">
        <v>221616679</v>
      </c>
      <c r="D622">
        <v>383485</v>
      </c>
      <c r="E622">
        <v>251957</v>
      </c>
      <c r="F622">
        <v>-2.2428699999999999</v>
      </c>
      <c r="G622">
        <v>52.16563</v>
      </c>
      <c r="H622">
        <v>22</v>
      </c>
      <c r="I622">
        <v>3</v>
      </c>
      <c r="J622" t="str">
        <f>VLOOKUP(I622, Lookups!$B$1:$C$4, 2, FALSE)</f>
        <v>Slight</v>
      </c>
      <c r="K622">
        <v>2</v>
      </c>
      <c r="L622">
        <v>1</v>
      </c>
      <c r="M622" s="1">
        <v>45853</v>
      </c>
      <c r="N622">
        <v>3</v>
      </c>
      <c r="O622" t="str">
        <f>VLOOKUP(N622, Lookups!$B$6:$C$12, 2, FALSE)</f>
        <v>Tuesday</v>
      </c>
      <c r="P622" s="2">
        <v>0.46180555555555558</v>
      </c>
      <c r="Q622">
        <v>-1</v>
      </c>
      <c r="R622" t="s">
        <v>49</v>
      </c>
      <c r="S622" t="s">
        <v>45</v>
      </c>
      <c r="T622" t="s">
        <v>45</v>
      </c>
      <c r="U622">
        <v>3</v>
      </c>
      <c r="V622" t="str">
        <f>VLOOKUP(U622, Lookups!$B$51:$C$57, 2, FALSE)</f>
        <v>A</v>
      </c>
      <c r="W622">
        <v>449</v>
      </c>
      <c r="X622" t="str">
        <f t="shared" ref="X622:X623" si="86">V622&amp;W622</f>
        <v>A449</v>
      </c>
      <c r="Y622">
        <v>3</v>
      </c>
      <c r="Z622" t="str">
        <f>VLOOKUP(Y622, Lookups!$B$14:$C$21, 2, FALSE)</f>
        <v>Dual carriageway</v>
      </c>
      <c r="AA622">
        <v>30</v>
      </c>
      <c r="AB622">
        <v>-1</v>
      </c>
      <c r="AC622">
        <v>0</v>
      </c>
      <c r="AD622">
        <v>-1</v>
      </c>
      <c r="AE622">
        <v>6</v>
      </c>
      <c r="AF622">
        <v>0</v>
      </c>
      <c r="AG622">
        <v>-1</v>
      </c>
      <c r="AH622">
        <v>-1</v>
      </c>
      <c r="AI622">
        <v>0</v>
      </c>
      <c r="AJ622">
        <v>1</v>
      </c>
      <c r="AK622" t="str">
        <f>VLOOKUP(AJ622, Lookups!$B$23:$C$28, 2, FALSE)</f>
        <v>Daylight</v>
      </c>
      <c r="AL622">
        <v>1</v>
      </c>
      <c r="AM622" t="str">
        <f>VLOOKUP(AL622, Lookups!$B$30:$C$39, 2, FALSE)</f>
        <v>Fine / Clear</v>
      </c>
      <c r="AN622">
        <v>1</v>
      </c>
      <c r="AO622" t="str">
        <f>VLOOKUP(AN622, Lookups!$B$41:$C$49, 2, FALSE)</f>
        <v>Dry</v>
      </c>
      <c r="AP622">
        <v>-1</v>
      </c>
      <c r="AQ622">
        <v>-1</v>
      </c>
      <c r="AR622">
        <v>0</v>
      </c>
      <c r="AS622">
        <v>2</v>
      </c>
      <c r="AT622">
        <v>3</v>
      </c>
      <c r="AU622">
        <v>2</v>
      </c>
      <c r="AV622" t="s">
        <v>121</v>
      </c>
      <c r="AW622">
        <v>3</v>
      </c>
      <c r="AX622">
        <v>1</v>
      </c>
      <c r="AY622">
        <v>0</v>
      </c>
      <c r="AZ622">
        <v>1</v>
      </c>
    </row>
    <row r="623" spans="1:52" x14ac:dyDescent="0.35">
      <c r="A623">
        <v>2025221630108</v>
      </c>
      <c r="B623">
        <v>2025</v>
      </c>
      <c r="C623">
        <v>221630108</v>
      </c>
      <c r="D623">
        <v>399259</v>
      </c>
      <c r="E623">
        <v>236023</v>
      </c>
      <c r="F623">
        <v>-2.0122100000000001</v>
      </c>
      <c r="G623">
        <v>52.022620000000003</v>
      </c>
      <c r="H623">
        <v>22</v>
      </c>
      <c r="I623">
        <v>2</v>
      </c>
      <c r="J623" t="str">
        <f>VLOOKUP(I623, Lookups!$B$1:$C$4, 2, FALSE)</f>
        <v>Serious</v>
      </c>
      <c r="K623">
        <v>3</v>
      </c>
      <c r="L623">
        <v>1</v>
      </c>
      <c r="M623" s="1">
        <v>45886</v>
      </c>
      <c r="N623">
        <v>1</v>
      </c>
      <c r="O623" t="str">
        <f>VLOOKUP(N623, Lookups!$B$6:$C$12, 2, FALSE)</f>
        <v>Sunday</v>
      </c>
      <c r="P623" s="2">
        <v>0.72916666666666663</v>
      </c>
      <c r="Q623">
        <v>-1</v>
      </c>
      <c r="R623" t="s">
        <v>54</v>
      </c>
      <c r="S623" t="s">
        <v>45</v>
      </c>
      <c r="T623" t="s">
        <v>45</v>
      </c>
      <c r="U623">
        <v>3</v>
      </c>
      <c r="V623" t="str">
        <f>VLOOKUP(U623, Lookups!$B$51:$C$57, 2, FALSE)</f>
        <v>A</v>
      </c>
      <c r="W623">
        <v>46</v>
      </c>
      <c r="X623" t="str">
        <f t="shared" si="86"/>
        <v>A46</v>
      </c>
      <c r="Y623">
        <v>6</v>
      </c>
      <c r="Z623" t="str">
        <f>VLOOKUP(Y623, Lookups!$B$14:$C$21, 2, FALSE)</f>
        <v>Single carriageway</v>
      </c>
      <c r="AA623">
        <v>60</v>
      </c>
      <c r="AB623">
        <v>-1</v>
      </c>
      <c r="AC623">
        <v>0</v>
      </c>
      <c r="AD623">
        <v>-1</v>
      </c>
      <c r="AE623">
        <v>0</v>
      </c>
      <c r="AF623">
        <v>-1</v>
      </c>
      <c r="AG623">
        <v>-1</v>
      </c>
      <c r="AH623">
        <v>-1</v>
      </c>
      <c r="AI623">
        <v>0</v>
      </c>
      <c r="AJ623">
        <v>1</v>
      </c>
      <c r="AK623" t="str">
        <f>VLOOKUP(AJ623, Lookups!$B$23:$C$28, 2, FALSE)</f>
        <v>Daylight</v>
      </c>
      <c r="AL623">
        <v>1</v>
      </c>
      <c r="AM623" t="str">
        <f>VLOOKUP(AL623, Lookups!$B$30:$C$39, 2, FALSE)</f>
        <v>Fine / Clear</v>
      </c>
      <c r="AN623">
        <v>1</v>
      </c>
      <c r="AO623" t="str">
        <f>VLOOKUP(AN623, Lookups!$B$41:$C$49, 2, FALSE)</f>
        <v>Dry</v>
      </c>
      <c r="AP623">
        <v>-1</v>
      </c>
      <c r="AQ623">
        <v>-1</v>
      </c>
      <c r="AR623">
        <v>0</v>
      </c>
      <c r="AS623">
        <v>2</v>
      </c>
      <c r="AT623">
        <v>1</v>
      </c>
      <c r="AU623">
        <v>1</v>
      </c>
      <c r="AV623" t="s">
        <v>299</v>
      </c>
      <c r="AW623">
        <v>7</v>
      </c>
      <c r="AX623">
        <v>1</v>
      </c>
      <c r="AY623">
        <v>1</v>
      </c>
      <c r="AZ623">
        <v>0</v>
      </c>
    </row>
    <row r="624" spans="1:52" x14ac:dyDescent="0.35">
      <c r="A624">
        <v>2025221578660</v>
      </c>
      <c r="B624">
        <v>2025</v>
      </c>
      <c r="C624">
        <v>221578660</v>
      </c>
      <c r="D624">
        <v>405603</v>
      </c>
      <c r="E624">
        <v>266175</v>
      </c>
      <c r="F624">
        <v>-1.91927</v>
      </c>
      <c r="G624">
        <v>52.293680000000002</v>
      </c>
      <c r="H624">
        <v>22</v>
      </c>
      <c r="I624">
        <v>3</v>
      </c>
      <c r="J624" t="str">
        <f>VLOOKUP(I624, Lookups!$B$1:$C$4, 2, FALSE)</f>
        <v>Slight</v>
      </c>
      <c r="K624">
        <v>2</v>
      </c>
      <c r="L624">
        <v>1</v>
      </c>
      <c r="M624" s="1">
        <v>45763</v>
      </c>
      <c r="N624">
        <v>4</v>
      </c>
      <c r="O624" t="str">
        <f>VLOOKUP(N624, Lookups!$B$6:$C$12, 2, FALSE)</f>
        <v>Wednesday</v>
      </c>
      <c r="P624" s="2">
        <v>0.4236111111111111</v>
      </c>
      <c r="Q624">
        <v>-1</v>
      </c>
      <c r="R624" t="s">
        <v>69</v>
      </c>
      <c r="S624" t="s">
        <v>45</v>
      </c>
      <c r="T624" t="s">
        <v>45</v>
      </c>
      <c r="U624">
        <v>6</v>
      </c>
      <c r="V624" t="str">
        <f>VLOOKUP(U624, Lookups!$B$51:$C$57, 2, FALSE)</f>
        <v>Unclassified</v>
      </c>
      <c r="W624">
        <v>0</v>
      </c>
      <c r="X624" t="s">
        <v>362</v>
      </c>
      <c r="Y624">
        <v>6</v>
      </c>
      <c r="Z624" t="str">
        <f>VLOOKUP(Y624, Lookups!$B$14:$C$21, 2, FALSE)</f>
        <v>Single carriageway</v>
      </c>
      <c r="AA624">
        <v>30</v>
      </c>
      <c r="AB624">
        <v>-1</v>
      </c>
      <c r="AC624">
        <v>0</v>
      </c>
      <c r="AD624">
        <v>-1</v>
      </c>
      <c r="AE624">
        <v>6</v>
      </c>
      <c r="AF624">
        <v>0</v>
      </c>
      <c r="AG624">
        <v>-1</v>
      </c>
      <c r="AH624">
        <v>-1</v>
      </c>
      <c r="AI624">
        <v>0</v>
      </c>
      <c r="AJ624">
        <v>1</v>
      </c>
      <c r="AK624" t="str">
        <f>VLOOKUP(AJ624, Lookups!$B$23:$C$28, 2, FALSE)</f>
        <v>Daylight</v>
      </c>
      <c r="AL624">
        <v>1</v>
      </c>
      <c r="AM624" t="str">
        <f>VLOOKUP(AL624, Lookups!$B$30:$C$39, 2, FALSE)</f>
        <v>Fine / Clear</v>
      </c>
      <c r="AN624">
        <v>1</v>
      </c>
      <c r="AO624" t="str">
        <f>VLOOKUP(AN624, Lookups!$B$41:$C$49, 2, FALSE)</f>
        <v>Dry</v>
      </c>
      <c r="AP624">
        <v>-1</v>
      </c>
      <c r="AQ624">
        <v>-1</v>
      </c>
      <c r="AR624">
        <v>0</v>
      </c>
      <c r="AS624">
        <v>1</v>
      </c>
      <c r="AT624">
        <v>1</v>
      </c>
      <c r="AU624">
        <v>2</v>
      </c>
      <c r="AV624" t="s">
        <v>300</v>
      </c>
      <c r="AW624">
        <v>3</v>
      </c>
      <c r="AX624">
        <v>1</v>
      </c>
      <c r="AY624">
        <v>0</v>
      </c>
      <c r="AZ624">
        <v>1</v>
      </c>
    </row>
    <row r="625" spans="1:52" x14ac:dyDescent="0.35">
      <c r="A625">
        <v>2025221640114</v>
      </c>
      <c r="B625">
        <v>2025</v>
      </c>
      <c r="C625">
        <v>221640114</v>
      </c>
      <c r="D625">
        <v>407459</v>
      </c>
      <c r="E625">
        <v>266430</v>
      </c>
      <c r="F625">
        <v>-1.89205</v>
      </c>
      <c r="G625">
        <v>52.295949999999998</v>
      </c>
      <c r="H625">
        <v>22</v>
      </c>
      <c r="I625">
        <v>3</v>
      </c>
      <c r="J625" t="str">
        <f>VLOOKUP(I625, Lookups!$B$1:$C$4, 2, FALSE)</f>
        <v>Slight</v>
      </c>
      <c r="K625">
        <v>1</v>
      </c>
      <c r="L625">
        <v>1</v>
      </c>
      <c r="M625" s="1">
        <v>45908</v>
      </c>
      <c r="N625">
        <v>2</v>
      </c>
      <c r="O625" t="str">
        <f>VLOOKUP(N625, Lookups!$B$6:$C$12, 2, FALSE)</f>
        <v>Monday</v>
      </c>
      <c r="P625" s="2">
        <v>0.40277777777777779</v>
      </c>
      <c r="Q625">
        <v>-1</v>
      </c>
      <c r="R625" t="s">
        <v>69</v>
      </c>
      <c r="S625" t="s">
        <v>45</v>
      </c>
      <c r="T625" t="s">
        <v>45</v>
      </c>
      <c r="U625">
        <v>6</v>
      </c>
      <c r="V625" t="str">
        <f>VLOOKUP(U625, Lookups!$B$51:$C$57, 2, FALSE)</f>
        <v>Unclassified</v>
      </c>
      <c r="W625">
        <v>0</v>
      </c>
      <c r="X625" t="s">
        <v>362</v>
      </c>
      <c r="Y625">
        <v>6</v>
      </c>
      <c r="Z625" t="str">
        <f>VLOOKUP(Y625, Lookups!$B$14:$C$21, 2, FALSE)</f>
        <v>Single carriageway</v>
      </c>
      <c r="AA625">
        <v>30</v>
      </c>
      <c r="AB625">
        <v>-1</v>
      </c>
      <c r="AC625">
        <v>0</v>
      </c>
      <c r="AD625">
        <v>-1</v>
      </c>
      <c r="AE625">
        <v>0</v>
      </c>
      <c r="AF625">
        <v>-1</v>
      </c>
      <c r="AG625">
        <v>-1</v>
      </c>
      <c r="AH625">
        <v>-1</v>
      </c>
      <c r="AI625">
        <v>0</v>
      </c>
      <c r="AJ625">
        <v>1</v>
      </c>
      <c r="AK625" t="str">
        <f>VLOOKUP(AJ625, Lookups!$B$23:$C$28, 2, FALSE)</f>
        <v>Daylight</v>
      </c>
      <c r="AL625">
        <v>1</v>
      </c>
      <c r="AM625" t="str">
        <f>VLOOKUP(AL625, Lookups!$B$30:$C$39, 2, FALSE)</f>
        <v>Fine / Clear</v>
      </c>
      <c r="AN625">
        <v>1</v>
      </c>
      <c r="AO625" t="str">
        <f>VLOOKUP(AN625, Lookups!$B$41:$C$49, 2, FALSE)</f>
        <v>Dry</v>
      </c>
      <c r="AP625">
        <v>-1</v>
      </c>
      <c r="AQ625">
        <v>-1</v>
      </c>
      <c r="AR625">
        <v>0</v>
      </c>
      <c r="AS625">
        <v>1</v>
      </c>
      <c r="AT625">
        <v>2</v>
      </c>
      <c r="AU625">
        <v>2</v>
      </c>
      <c r="AV625" t="s">
        <v>301</v>
      </c>
      <c r="AW625">
        <v>3</v>
      </c>
      <c r="AX625">
        <v>1</v>
      </c>
      <c r="AY625">
        <v>0</v>
      </c>
      <c r="AZ625">
        <v>1</v>
      </c>
    </row>
    <row r="626" spans="1:52" x14ac:dyDescent="0.35">
      <c r="A626">
        <v>2025221578754</v>
      </c>
      <c r="B626">
        <v>2025</v>
      </c>
      <c r="C626">
        <v>221578754</v>
      </c>
      <c r="D626">
        <v>404605</v>
      </c>
      <c r="E626">
        <v>264470</v>
      </c>
      <c r="F626">
        <v>-1.9339200000000001</v>
      </c>
      <c r="G626">
        <v>52.278359999999999</v>
      </c>
      <c r="H626">
        <v>22</v>
      </c>
      <c r="I626">
        <v>2</v>
      </c>
      <c r="J626" t="str">
        <f>VLOOKUP(I626, Lookups!$B$1:$C$4, 2, FALSE)</f>
        <v>Serious</v>
      </c>
      <c r="K626">
        <v>1</v>
      </c>
      <c r="L626">
        <v>1</v>
      </c>
      <c r="M626" s="1">
        <v>45763</v>
      </c>
      <c r="N626">
        <v>4</v>
      </c>
      <c r="O626" t="str">
        <f>VLOOKUP(N626, Lookups!$B$6:$C$12, 2, FALSE)</f>
        <v>Wednesday</v>
      </c>
      <c r="P626" s="2">
        <v>0.71527777777777779</v>
      </c>
      <c r="Q626">
        <v>-1</v>
      </c>
      <c r="R626" t="s">
        <v>69</v>
      </c>
      <c r="S626" t="s">
        <v>45</v>
      </c>
      <c r="T626" t="s">
        <v>45</v>
      </c>
      <c r="U626">
        <v>6</v>
      </c>
      <c r="V626" t="str">
        <f>VLOOKUP(U626, Lookups!$B$51:$C$57, 2, FALSE)</f>
        <v>Unclassified</v>
      </c>
      <c r="W626">
        <v>0</v>
      </c>
      <c r="X626" t="s">
        <v>362</v>
      </c>
      <c r="Y626">
        <v>6</v>
      </c>
      <c r="Z626" t="str">
        <f>VLOOKUP(Y626, Lookups!$B$14:$C$21, 2, FALSE)</f>
        <v>Single carriageway</v>
      </c>
      <c r="AA626">
        <v>30</v>
      </c>
      <c r="AB626">
        <v>-1</v>
      </c>
      <c r="AC626">
        <v>0</v>
      </c>
      <c r="AD626">
        <v>-1</v>
      </c>
      <c r="AE626">
        <v>6</v>
      </c>
      <c r="AF626">
        <v>0</v>
      </c>
      <c r="AG626">
        <v>-1</v>
      </c>
      <c r="AH626">
        <v>-1</v>
      </c>
      <c r="AI626">
        <v>0</v>
      </c>
      <c r="AJ626">
        <v>1</v>
      </c>
      <c r="AK626" t="str">
        <f>VLOOKUP(AJ626, Lookups!$B$23:$C$28, 2, FALSE)</f>
        <v>Daylight</v>
      </c>
      <c r="AL626">
        <v>1</v>
      </c>
      <c r="AM626" t="str">
        <f>VLOOKUP(AL626, Lookups!$B$30:$C$39, 2, FALSE)</f>
        <v>Fine / Clear</v>
      </c>
      <c r="AN626">
        <v>1</v>
      </c>
      <c r="AO626" t="str">
        <f>VLOOKUP(AN626, Lookups!$B$41:$C$49, 2, FALSE)</f>
        <v>Dry</v>
      </c>
      <c r="AP626">
        <v>-1</v>
      </c>
      <c r="AQ626">
        <v>-1</v>
      </c>
      <c r="AR626">
        <v>0</v>
      </c>
      <c r="AS626">
        <v>1</v>
      </c>
      <c r="AT626">
        <v>1</v>
      </c>
      <c r="AU626">
        <v>2</v>
      </c>
      <c r="AV626" t="s">
        <v>302</v>
      </c>
      <c r="AW626">
        <v>5</v>
      </c>
      <c r="AX626">
        <v>1</v>
      </c>
      <c r="AY626">
        <v>1</v>
      </c>
      <c r="AZ626">
        <v>0</v>
      </c>
    </row>
    <row r="627" spans="1:52" x14ac:dyDescent="0.35">
      <c r="A627">
        <v>2025221583042</v>
      </c>
      <c r="B627">
        <v>2025</v>
      </c>
      <c r="C627">
        <v>221583042</v>
      </c>
      <c r="D627">
        <v>396227</v>
      </c>
      <c r="E627">
        <v>273886</v>
      </c>
      <c r="F627">
        <v>-2.0568300000000002</v>
      </c>
      <c r="G627">
        <v>52.363010000000003</v>
      </c>
      <c r="H627">
        <v>22</v>
      </c>
      <c r="I627">
        <v>2</v>
      </c>
      <c r="J627" t="str">
        <f>VLOOKUP(I627, Lookups!$B$1:$C$4, 2, FALSE)</f>
        <v>Serious</v>
      </c>
      <c r="K627">
        <v>1</v>
      </c>
      <c r="L627">
        <v>1</v>
      </c>
      <c r="M627" s="1">
        <v>45775</v>
      </c>
      <c r="N627">
        <v>2</v>
      </c>
      <c r="O627" t="str">
        <f>VLOOKUP(N627, Lookups!$B$6:$C$12, 2, FALSE)</f>
        <v>Monday</v>
      </c>
      <c r="P627" s="2">
        <v>0.48472222222222222</v>
      </c>
      <c r="Q627">
        <v>-1</v>
      </c>
      <c r="R627" t="s">
        <v>47</v>
      </c>
      <c r="S627" t="s">
        <v>45</v>
      </c>
      <c r="T627" t="s">
        <v>45</v>
      </c>
      <c r="U627">
        <v>4</v>
      </c>
      <c r="V627" t="str">
        <f>VLOOKUP(U627, Lookups!$B$51:$C$57, 2, FALSE)</f>
        <v>B</v>
      </c>
      <c r="W627">
        <v>4185</v>
      </c>
      <c r="X627" t="str">
        <f>V627&amp;W627</f>
        <v>B4185</v>
      </c>
      <c r="Y627">
        <v>6</v>
      </c>
      <c r="Z627" t="str">
        <f>VLOOKUP(Y627, Lookups!$B$14:$C$21, 2, FALSE)</f>
        <v>Single carriageway</v>
      </c>
      <c r="AA627">
        <v>30</v>
      </c>
      <c r="AB627">
        <v>-1</v>
      </c>
      <c r="AC627">
        <v>19</v>
      </c>
      <c r="AD627">
        <v>4</v>
      </c>
      <c r="AE627">
        <v>6</v>
      </c>
      <c r="AF627">
        <v>0</v>
      </c>
      <c r="AG627">
        <v>-1</v>
      </c>
      <c r="AH627">
        <v>-1</v>
      </c>
      <c r="AI627">
        <v>0</v>
      </c>
      <c r="AJ627">
        <v>1</v>
      </c>
      <c r="AK627" t="str">
        <f>VLOOKUP(AJ627, Lookups!$B$23:$C$28, 2, FALSE)</f>
        <v>Daylight</v>
      </c>
      <c r="AL627">
        <v>1</v>
      </c>
      <c r="AM627" t="str">
        <f>VLOOKUP(AL627, Lookups!$B$30:$C$39, 2, FALSE)</f>
        <v>Fine / Clear</v>
      </c>
      <c r="AN627">
        <v>1</v>
      </c>
      <c r="AO627" t="str">
        <f>VLOOKUP(AN627, Lookups!$B$41:$C$49, 2, FALSE)</f>
        <v>Dry</v>
      </c>
      <c r="AP627">
        <v>-1</v>
      </c>
      <c r="AQ627">
        <v>-1</v>
      </c>
      <c r="AR627">
        <v>0</v>
      </c>
      <c r="AS627">
        <v>1</v>
      </c>
      <c r="AT627">
        <v>1</v>
      </c>
      <c r="AU627">
        <v>2</v>
      </c>
      <c r="AV627" t="s">
        <v>303</v>
      </c>
      <c r="AW627">
        <v>6</v>
      </c>
      <c r="AX627">
        <v>1</v>
      </c>
      <c r="AY627">
        <v>1</v>
      </c>
      <c r="AZ627">
        <v>0</v>
      </c>
    </row>
    <row r="628" spans="1:52" x14ac:dyDescent="0.35">
      <c r="A628">
        <v>2025221654682</v>
      </c>
      <c r="B628">
        <v>2025</v>
      </c>
      <c r="C628">
        <v>221654682</v>
      </c>
      <c r="D628">
        <v>395720</v>
      </c>
      <c r="E628">
        <v>270456</v>
      </c>
      <c r="F628">
        <v>-2.0642299999999998</v>
      </c>
      <c r="G628">
        <v>52.332169999999998</v>
      </c>
      <c r="H628">
        <v>22</v>
      </c>
      <c r="I628">
        <v>3</v>
      </c>
      <c r="J628" t="str">
        <f>VLOOKUP(I628, Lookups!$B$1:$C$4, 2, FALSE)</f>
        <v>Slight</v>
      </c>
      <c r="K628">
        <v>1</v>
      </c>
      <c r="L628">
        <v>1</v>
      </c>
      <c r="M628" s="1">
        <v>45941</v>
      </c>
      <c r="N628">
        <v>7</v>
      </c>
      <c r="O628" t="str">
        <f>VLOOKUP(N628, Lookups!$B$6:$C$12, 2, FALSE)</f>
        <v>Saturday</v>
      </c>
      <c r="P628" s="2">
        <v>0.6333333333333333</v>
      </c>
      <c r="Q628">
        <v>-1</v>
      </c>
      <c r="R628" t="s">
        <v>47</v>
      </c>
      <c r="S628" t="s">
        <v>45</v>
      </c>
      <c r="T628" t="s">
        <v>45</v>
      </c>
      <c r="U628">
        <v>6</v>
      </c>
      <c r="V628" t="str">
        <f>VLOOKUP(U628, Lookups!$B$51:$C$57, 2, FALSE)</f>
        <v>Unclassified</v>
      </c>
      <c r="W628">
        <v>0</v>
      </c>
      <c r="X628" t="s">
        <v>362</v>
      </c>
      <c r="Y628">
        <v>6</v>
      </c>
      <c r="Z628" t="str">
        <f>VLOOKUP(Y628, Lookups!$B$14:$C$21, 2, FALSE)</f>
        <v>Single carriageway</v>
      </c>
      <c r="AA628">
        <v>30</v>
      </c>
      <c r="AB628">
        <v>-1</v>
      </c>
      <c r="AC628">
        <v>13</v>
      </c>
      <c r="AD628">
        <v>4</v>
      </c>
      <c r="AE628">
        <v>4</v>
      </c>
      <c r="AF628">
        <v>4091</v>
      </c>
      <c r="AG628">
        <v>-1</v>
      </c>
      <c r="AH628">
        <v>-1</v>
      </c>
      <c r="AI628">
        <v>13</v>
      </c>
      <c r="AJ628">
        <v>1</v>
      </c>
      <c r="AK628" t="str">
        <f>VLOOKUP(AJ628, Lookups!$B$23:$C$28, 2, FALSE)</f>
        <v>Daylight</v>
      </c>
      <c r="AL628">
        <v>1</v>
      </c>
      <c r="AM628" t="str">
        <f>VLOOKUP(AL628, Lookups!$B$30:$C$39, 2, FALSE)</f>
        <v>Fine / Clear</v>
      </c>
      <c r="AN628">
        <v>1</v>
      </c>
      <c r="AO628" t="str">
        <f>VLOOKUP(AN628, Lookups!$B$41:$C$49, 2, FALSE)</f>
        <v>Dry</v>
      </c>
      <c r="AP628">
        <v>-1</v>
      </c>
      <c r="AQ628">
        <v>-1</v>
      </c>
      <c r="AR628">
        <v>0</v>
      </c>
      <c r="AS628">
        <v>1</v>
      </c>
      <c r="AT628">
        <v>1</v>
      </c>
      <c r="AU628">
        <v>2</v>
      </c>
      <c r="AV628" t="s">
        <v>71</v>
      </c>
      <c r="AW628">
        <v>3</v>
      </c>
      <c r="AX628">
        <v>1</v>
      </c>
      <c r="AY628">
        <v>0</v>
      </c>
      <c r="AZ628">
        <v>1</v>
      </c>
    </row>
    <row r="629" spans="1:52" x14ac:dyDescent="0.35">
      <c r="A629">
        <v>2025221575069</v>
      </c>
      <c r="B629">
        <v>2025</v>
      </c>
      <c r="C629">
        <v>221575069</v>
      </c>
      <c r="D629">
        <v>382418</v>
      </c>
      <c r="E629">
        <v>263269</v>
      </c>
      <c r="F629">
        <v>-2.2590599999999998</v>
      </c>
      <c r="G629">
        <v>52.267290000000003</v>
      </c>
      <c r="H629">
        <v>22</v>
      </c>
      <c r="I629">
        <v>2</v>
      </c>
      <c r="J629" t="str">
        <f>VLOOKUP(I629, Lookups!$B$1:$C$4, 2, FALSE)</f>
        <v>Serious</v>
      </c>
      <c r="K629">
        <v>2</v>
      </c>
      <c r="L629">
        <v>1</v>
      </c>
      <c r="M629" s="1">
        <v>45753</v>
      </c>
      <c r="N629">
        <v>1</v>
      </c>
      <c r="O629" t="str">
        <f>VLOOKUP(N629, Lookups!$B$6:$C$12, 2, FALSE)</f>
        <v>Sunday</v>
      </c>
      <c r="P629" s="2">
        <v>0.70277777777777772</v>
      </c>
      <c r="Q629">
        <v>-1</v>
      </c>
      <c r="R629" t="s">
        <v>49</v>
      </c>
      <c r="S629" t="s">
        <v>45</v>
      </c>
      <c r="T629" t="s">
        <v>45</v>
      </c>
      <c r="U629">
        <v>3</v>
      </c>
      <c r="V629" t="str">
        <f>VLOOKUP(U629, Lookups!$B$51:$C$57, 2, FALSE)</f>
        <v>A</v>
      </c>
      <c r="W629">
        <v>4133</v>
      </c>
      <c r="X629" t="str">
        <f t="shared" ref="X629:X637" si="87">V629&amp;W629</f>
        <v>A4133</v>
      </c>
      <c r="Y629">
        <v>6</v>
      </c>
      <c r="Z629" t="str">
        <f>VLOOKUP(Y629, Lookups!$B$14:$C$21, 2, FALSE)</f>
        <v>Single carriageway</v>
      </c>
      <c r="AA629">
        <v>40</v>
      </c>
      <c r="AB629">
        <v>-1</v>
      </c>
      <c r="AC629">
        <v>19</v>
      </c>
      <c r="AD629">
        <v>4</v>
      </c>
      <c r="AE629">
        <v>6</v>
      </c>
      <c r="AF629">
        <v>0</v>
      </c>
      <c r="AG629">
        <v>-1</v>
      </c>
      <c r="AH629">
        <v>-1</v>
      </c>
      <c r="AI629">
        <v>0</v>
      </c>
      <c r="AJ629">
        <v>1</v>
      </c>
      <c r="AK629" t="str">
        <f>VLOOKUP(AJ629, Lookups!$B$23:$C$28, 2, FALSE)</f>
        <v>Daylight</v>
      </c>
      <c r="AL629">
        <v>1</v>
      </c>
      <c r="AM629" t="str">
        <f>VLOOKUP(AL629, Lookups!$B$30:$C$39, 2, FALSE)</f>
        <v>Fine / Clear</v>
      </c>
      <c r="AN629">
        <v>1</v>
      </c>
      <c r="AO629" t="str">
        <f>VLOOKUP(AN629, Lookups!$B$41:$C$49, 2, FALSE)</f>
        <v>Dry</v>
      </c>
      <c r="AP629">
        <v>-1</v>
      </c>
      <c r="AQ629">
        <v>-1</v>
      </c>
      <c r="AR629">
        <v>0</v>
      </c>
      <c r="AS629">
        <v>2</v>
      </c>
      <c r="AT629">
        <v>1</v>
      </c>
      <c r="AU629">
        <v>2</v>
      </c>
      <c r="AV629" t="s">
        <v>188</v>
      </c>
      <c r="AW629">
        <v>7</v>
      </c>
      <c r="AX629">
        <v>1</v>
      </c>
      <c r="AY629">
        <v>1</v>
      </c>
      <c r="AZ629">
        <v>0</v>
      </c>
    </row>
    <row r="630" spans="1:52" x14ac:dyDescent="0.35">
      <c r="A630">
        <v>2025221614117</v>
      </c>
      <c r="B630">
        <v>2025</v>
      </c>
      <c r="C630">
        <v>221614117</v>
      </c>
      <c r="D630">
        <v>379549</v>
      </c>
      <c r="E630">
        <v>274056</v>
      </c>
      <c r="F630">
        <v>-2.3017599999999998</v>
      </c>
      <c r="G630">
        <v>52.364170000000001</v>
      </c>
      <c r="H630">
        <v>22</v>
      </c>
      <c r="I630">
        <v>3</v>
      </c>
      <c r="J630" t="str">
        <f>VLOOKUP(I630, Lookups!$B$1:$C$4, 2, FALSE)</f>
        <v>Slight</v>
      </c>
      <c r="K630">
        <v>2</v>
      </c>
      <c r="L630">
        <v>2</v>
      </c>
      <c r="M630" s="1">
        <v>45845</v>
      </c>
      <c r="N630">
        <v>2</v>
      </c>
      <c r="O630" t="str">
        <f>VLOOKUP(N630, Lookups!$B$6:$C$12, 2, FALSE)</f>
        <v>Monday</v>
      </c>
      <c r="P630" s="2">
        <v>0.44444444444444442</v>
      </c>
      <c r="Q630">
        <v>-1</v>
      </c>
      <c r="R630" t="s">
        <v>44</v>
      </c>
      <c r="S630" t="s">
        <v>45</v>
      </c>
      <c r="T630" t="s">
        <v>45</v>
      </c>
      <c r="U630">
        <v>4</v>
      </c>
      <c r="V630" t="str">
        <f>VLOOKUP(U630, Lookups!$B$51:$C$57, 2, FALSE)</f>
        <v>B</v>
      </c>
      <c r="W630">
        <v>4195</v>
      </c>
      <c r="X630" t="str">
        <f t="shared" si="87"/>
        <v>B4195</v>
      </c>
      <c r="Y630">
        <v>6</v>
      </c>
      <c r="Z630" t="str">
        <f>VLOOKUP(Y630, Lookups!$B$14:$C$21, 2, FALSE)</f>
        <v>Single carriageway</v>
      </c>
      <c r="AA630">
        <v>60</v>
      </c>
      <c r="AB630">
        <v>-1</v>
      </c>
      <c r="AC630">
        <v>0</v>
      </c>
      <c r="AD630">
        <v>-1</v>
      </c>
      <c r="AE630">
        <v>0</v>
      </c>
      <c r="AF630">
        <v>-1</v>
      </c>
      <c r="AG630">
        <v>-1</v>
      </c>
      <c r="AH630">
        <v>-1</v>
      </c>
      <c r="AI630">
        <v>0</v>
      </c>
      <c r="AJ630">
        <v>1</v>
      </c>
      <c r="AK630" t="str">
        <f>VLOOKUP(AJ630, Lookups!$B$23:$C$28, 2, FALSE)</f>
        <v>Daylight</v>
      </c>
      <c r="AL630">
        <v>1</v>
      </c>
      <c r="AM630" t="str">
        <f>VLOOKUP(AL630, Lookups!$B$30:$C$39, 2, FALSE)</f>
        <v>Fine / Clear</v>
      </c>
      <c r="AN630">
        <v>1</v>
      </c>
      <c r="AO630" t="str">
        <f>VLOOKUP(AN630, Lookups!$B$41:$C$49, 2, FALSE)</f>
        <v>Dry</v>
      </c>
      <c r="AP630">
        <v>-1</v>
      </c>
      <c r="AQ630">
        <v>-1</v>
      </c>
      <c r="AR630">
        <v>0</v>
      </c>
      <c r="AS630">
        <v>2</v>
      </c>
      <c r="AT630">
        <v>1</v>
      </c>
      <c r="AU630">
        <v>2</v>
      </c>
      <c r="AV630" t="s">
        <v>91</v>
      </c>
      <c r="AW630">
        <v>3</v>
      </c>
      <c r="AX630">
        <v>1</v>
      </c>
      <c r="AY630">
        <v>0</v>
      </c>
      <c r="AZ630">
        <v>1</v>
      </c>
    </row>
    <row r="631" spans="1:52" x14ac:dyDescent="0.35">
      <c r="A631">
        <v>2025221616132</v>
      </c>
      <c r="B631">
        <v>2025</v>
      </c>
      <c r="C631">
        <v>221616132</v>
      </c>
      <c r="D631">
        <v>401456</v>
      </c>
      <c r="E631">
        <v>274072</v>
      </c>
      <c r="F631">
        <v>-1.98004</v>
      </c>
      <c r="G631">
        <v>52.364699999999999</v>
      </c>
      <c r="H631">
        <v>22</v>
      </c>
      <c r="I631">
        <v>3</v>
      </c>
      <c r="J631" t="str">
        <f>VLOOKUP(I631, Lookups!$B$1:$C$4, 2, FALSE)</f>
        <v>Slight</v>
      </c>
      <c r="K631">
        <v>2</v>
      </c>
      <c r="L631">
        <v>1</v>
      </c>
      <c r="M631" s="1">
        <v>45848</v>
      </c>
      <c r="N631">
        <v>5</v>
      </c>
      <c r="O631" t="str">
        <f>VLOOKUP(N631, Lookups!$B$6:$C$12, 2, FALSE)</f>
        <v>Thursday</v>
      </c>
      <c r="P631" s="2">
        <v>0.7583333333333333</v>
      </c>
      <c r="Q631">
        <v>-1</v>
      </c>
      <c r="R631" t="s">
        <v>47</v>
      </c>
      <c r="S631" t="s">
        <v>45</v>
      </c>
      <c r="T631" t="s">
        <v>45</v>
      </c>
      <c r="U631">
        <v>4</v>
      </c>
      <c r="V631" t="str">
        <f>VLOOKUP(U631, Lookups!$B$51:$C$57, 2, FALSE)</f>
        <v>B</v>
      </c>
      <c r="W631">
        <v>4120</v>
      </c>
      <c r="X631" t="str">
        <f t="shared" si="87"/>
        <v>B4120</v>
      </c>
      <c r="Y631">
        <v>6</v>
      </c>
      <c r="Z631" t="str">
        <f>VLOOKUP(Y631, Lookups!$B$14:$C$21, 2, FALSE)</f>
        <v>Single carriageway</v>
      </c>
      <c r="AA631">
        <v>30</v>
      </c>
      <c r="AB631">
        <v>-1</v>
      </c>
      <c r="AC631">
        <v>13</v>
      </c>
      <c r="AD631">
        <v>4</v>
      </c>
      <c r="AE631">
        <v>6</v>
      </c>
      <c r="AF631">
        <v>0</v>
      </c>
      <c r="AG631">
        <v>-1</v>
      </c>
      <c r="AH631">
        <v>-1</v>
      </c>
      <c r="AI631">
        <v>0</v>
      </c>
      <c r="AJ631">
        <v>1</v>
      </c>
      <c r="AK631" t="str">
        <f>VLOOKUP(AJ631, Lookups!$B$23:$C$28, 2, FALSE)</f>
        <v>Daylight</v>
      </c>
      <c r="AL631">
        <v>1</v>
      </c>
      <c r="AM631" t="str">
        <f>VLOOKUP(AL631, Lookups!$B$30:$C$39, 2, FALSE)</f>
        <v>Fine / Clear</v>
      </c>
      <c r="AN631">
        <v>1</v>
      </c>
      <c r="AO631" t="str">
        <f>VLOOKUP(AN631, Lookups!$B$41:$C$49, 2, FALSE)</f>
        <v>Dry</v>
      </c>
      <c r="AP631">
        <v>-1</v>
      </c>
      <c r="AQ631">
        <v>-1</v>
      </c>
      <c r="AR631">
        <v>0</v>
      </c>
      <c r="AS631">
        <v>1</v>
      </c>
      <c r="AT631">
        <v>1</v>
      </c>
      <c r="AU631">
        <v>2</v>
      </c>
      <c r="AV631" t="s">
        <v>184</v>
      </c>
      <c r="AW631">
        <v>3</v>
      </c>
      <c r="AX631">
        <v>1</v>
      </c>
      <c r="AY631">
        <v>0</v>
      </c>
      <c r="AZ631">
        <v>1</v>
      </c>
    </row>
    <row r="632" spans="1:52" x14ac:dyDescent="0.35">
      <c r="A632">
        <v>2025221663257</v>
      </c>
      <c r="B632">
        <v>2025</v>
      </c>
      <c r="C632">
        <v>221663257</v>
      </c>
      <c r="D632">
        <v>392736</v>
      </c>
      <c r="E632">
        <v>279109</v>
      </c>
      <c r="F632">
        <v>-2.1082100000000001</v>
      </c>
      <c r="G632">
        <v>52.409930000000003</v>
      </c>
      <c r="H632">
        <v>22</v>
      </c>
      <c r="I632">
        <v>2</v>
      </c>
      <c r="J632" t="str">
        <f>VLOOKUP(I632, Lookups!$B$1:$C$4, 2, FALSE)</f>
        <v>Serious</v>
      </c>
      <c r="K632">
        <v>1</v>
      </c>
      <c r="L632">
        <v>1</v>
      </c>
      <c r="M632" s="1">
        <v>45964</v>
      </c>
      <c r="N632">
        <v>2</v>
      </c>
      <c r="O632" t="str">
        <f>VLOOKUP(N632, Lookups!$B$6:$C$12, 2, FALSE)</f>
        <v>Monday</v>
      </c>
      <c r="P632" s="2">
        <v>0.59027777777777779</v>
      </c>
      <c r="Q632">
        <v>-1</v>
      </c>
      <c r="R632" t="s">
        <v>47</v>
      </c>
      <c r="S632" t="s">
        <v>45</v>
      </c>
      <c r="T632" t="s">
        <v>45</v>
      </c>
      <c r="U632">
        <v>3</v>
      </c>
      <c r="V632" t="str">
        <f>VLOOKUP(U632, Lookups!$B$51:$C$57, 2, FALSE)</f>
        <v>A</v>
      </c>
      <c r="W632">
        <v>491</v>
      </c>
      <c r="X632" t="str">
        <f t="shared" si="87"/>
        <v>A491</v>
      </c>
      <c r="Y632">
        <v>3</v>
      </c>
      <c r="Z632" t="str">
        <f>VLOOKUP(Y632, Lookups!$B$14:$C$21, 2, FALSE)</f>
        <v>Dual carriageway</v>
      </c>
      <c r="AA632">
        <v>60</v>
      </c>
      <c r="AB632">
        <v>-1</v>
      </c>
      <c r="AC632">
        <v>0</v>
      </c>
      <c r="AD632">
        <v>-1</v>
      </c>
      <c r="AE632">
        <v>0</v>
      </c>
      <c r="AF632">
        <v>-1</v>
      </c>
      <c r="AG632">
        <v>-1</v>
      </c>
      <c r="AH632">
        <v>-1</v>
      </c>
      <c r="AI632">
        <v>0</v>
      </c>
      <c r="AJ632">
        <v>1</v>
      </c>
      <c r="AK632" t="str">
        <f>VLOOKUP(AJ632, Lookups!$B$23:$C$28, 2, FALSE)</f>
        <v>Daylight</v>
      </c>
      <c r="AL632">
        <v>1</v>
      </c>
      <c r="AM632" t="str">
        <f>VLOOKUP(AL632, Lookups!$B$30:$C$39, 2, FALSE)</f>
        <v>Fine / Clear</v>
      </c>
      <c r="AN632">
        <v>1</v>
      </c>
      <c r="AO632" t="str">
        <f>VLOOKUP(AN632, Lookups!$B$41:$C$49, 2, FALSE)</f>
        <v>Dry</v>
      </c>
      <c r="AP632">
        <v>-1</v>
      </c>
      <c r="AQ632">
        <v>-1</v>
      </c>
      <c r="AR632">
        <v>0</v>
      </c>
      <c r="AS632">
        <v>2</v>
      </c>
      <c r="AT632">
        <v>1</v>
      </c>
      <c r="AU632">
        <v>2</v>
      </c>
      <c r="AV632" t="s">
        <v>120</v>
      </c>
      <c r="AW632">
        <v>5</v>
      </c>
      <c r="AX632">
        <v>1</v>
      </c>
      <c r="AY632">
        <v>1</v>
      </c>
      <c r="AZ632">
        <v>0</v>
      </c>
    </row>
    <row r="633" spans="1:52" x14ac:dyDescent="0.35">
      <c r="A633">
        <v>2025221561618</v>
      </c>
      <c r="B633">
        <v>2025</v>
      </c>
      <c r="C633">
        <v>221561618</v>
      </c>
      <c r="D633">
        <v>386101</v>
      </c>
      <c r="E633">
        <v>256504</v>
      </c>
      <c r="F633">
        <v>-2.2048100000000002</v>
      </c>
      <c r="G633">
        <v>52.206580000000002</v>
      </c>
      <c r="H633">
        <v>22</v>
      </c>
      <c r="I633">
        <v>3</v>
      </c>
      <c r="J633" t="str">
        <f>VLOOKUP(I633, Lookups!$B$1:$C$4, 2, FALSE)</f>
        <v>Slight</v>
      </c>
      <c r="K633">
        <v>1</v>
      </c>
      <c r="L633">
        <v>1</v>
      </c>
      <c r="M633" s="1">
        <v>45720</v>
      </c>
      <c r="N633">
        <v>3</v>
      </c>
      <c r="O633" t="str">
        <f>VLOOKUP(N633, Lookups!$B$6:$C$12, 2, FALSE)</f>
        <v>Tuesday</v>
      </c>
      <c r="P633" s="2">
        <v>0.60763888888888884</v>
      </c>
      <c r="Q633">
        <v>-1</v>
      </c>
      <c r="R633" t="s">
        <v>60</v>
      </c>
      <c r="S633" t="s">
        <v>45</v>
      </c>
      <c r="T633" t="s">
        <v>45</v>
      </c>
      <c r="U633">
        <v>4</v>
      </c>
      <c r="V633" t="str">
        <f>VLOOKUP(U633, Lookups!$B$51:$C$57, 2, FALSE)</f>
        <v>B</v>
      </c>
      <c r="W633">
        <v>4550</v>
      </c>
      <c r="X633" t="str">
        <f t="shared" si="87"/>
        <v>B4550</v>
      </c>
      <c r="Y633">
        <v>6</v>
      </c>
      <c r="Z633" t="str">
        <f>VLOOKUP(Y633, Lookups!$B$14:$C$21, 2, FALSE)</f>
        <v>Single carriageway</v>
      </c>
      <c r="AA633">
        <v>30</v>
      </c>
      <c r="AB633">
        <v>-1</v>
      </c>
      <c r="AC633">
        <v>0</v>
      </c>
      <c r="AD633">
        <v>-1</v>
      </c>
      <c r="AE633">
        <v>4</v>
      </c>
      <c r="AF633">
        <v>4550</v>
      </c>
      <c r="AG633">
        <v>-1</v>
      </c>
      <c r="AH633">
        <v>-1</v>
      </c>
      <c r="AI633">
        <v>17</v>
      </c>
      <c r="AJ633">
        <v>1</v>
      </c>
      <c r="AK633" t="str">
        <f>VLOOKUP(AJ633, Lookups!$B$23:$C$28, 2, FALSE)</f>
        <v>Daylight</v>
      </c>
      <c r="AL633">
        <v>1</v>
      </c>
      <c r="AM633" t="str">
        <f>VLOOKUP(AL633, Lookups!$B$30:$C$39, 2, FALSE)</f>
        <v>Fine / Clear</v>
      </c>
      <c r="AN633">
        <v>1</v>
      </c>
      <c r="AO633" t="str">
        <f>VLOOKUP(AN633, Lookups!$B$41:$C$49, 2, FALSE)</f>
        <v>Dry</v>
      </c>
      <c r="AP633">
        <v>-1</v>
      </c>
      <c r="AQ633">
        <v>-1</v>
      </c>
      <c r="AR633">
        <v>0</v>
      </c>
      <c r="AS633">
        <v>1</v>
      </c>
      <c r="AT633">
        <v>1</v>
      </c>
      <c r="AU633">
        <v>2</v>
      </c>
      <c r="AV633" t="s">
        <v>285</v>
      </c>
      <c r="AW633">
        <v>3</v>
      </c>
      <c r="AX633">
        <v>1</v>
      </c>
      <c r="AY633">
        <v>0</v>
      </c>
      <c r="AZ633">
        <v>1</v>
      </c>
    </row>
    <row r="634" spans="1:52" x14ac:dyDescent="0.35">
      <c r="A634">
        <v>2025221600000</v>
      </c>
      <c r="B634">
        <v>2025</v>
      </c>
      <c r="C634">
        <v>221600000</v>
      </c>
      <c r="D634">
        <v>390363</v>
      </c>
      <c r="E634">
        <v>280339</v>
      </c>
      <c r="F634">
        <v>-2.1431300000000002</v>
      </c>
      <c r="G634">
        <v>52.420949999999998</v>
      </c>
      <c r="H634">
        <v>22</v>
      </c>
      <c r="I634">
        <v>2</v>
      </c>
      <c r="J634" t="str">
        <f>VLOOKUP(I634, Lookups!$B$1:$C$4, 2, FALSE)</f>
        <v>Serious</v>
      </c>
      <c r="K634">
        <v>2</v>
      </c>
      <c r="L634">
        <v>1</v>
      </c>
      <c r="M634" s="1">
        <v>45814</v>
      </c>
      <c r="N634">
        <v>6</v>
      </c>
      <c r="O634" t="str">
        <f>VLOOKUP(N634, Lookups!$B$6:$C$12, 2, FALSE)</f>
        <v>Friday</v>
      </c>
      <c r="P634" s="2">
        <v>0.67500000000000004</v>
      </c>
      <c r="Q634">
        <v>-1</v>
      </c>
      <c r="R634" t="s">
        <v>47</v>
      </c>
      <c r="S634" t="s">
        <v>45</v>
      </c>
      <c r="T634" t="s">
        <v>45</v>
      </c>
      <c r="U634">
        <v>4</v>
      </c>
      <c r="V634" t="str">
        <f>VLOOKUP(U634, Lookups!$B$51:$C$57, 2, FALSE)</f>
        <v>B</v>
      </c>
      <c r="W634">
        <v>4187</v>
      </c>
      <c r="X634" t="str">
        <f t="shared" si="87"/>
        <v>B4187</v>
      </c>
      <c r="Y634">
        <v>6</v>
      </c>
      <c r="Z634" t="str">
        <f>VLOOKUP(Y634, Lookups!$B$14:$C$21, 2, FALSE)</f>
        <v>Single carriageway</v>
      </c>
      <c r="AA634">
        <v>30</v>
      </c>
      <c r="AB634">
        <v>-1</v>
      </c>
      <c r="AC634">
        <v>19</v>
      </c>
      <c r="AD634">
        <v>4</v>
      </c>
      <c r="AE634">
        <v>6</v>
      </c>
      <c r="AF634">
        <v>0</v>
      </c>
      <c r="AG634">
        <v>-1</v>
      </c>
      <c r="AH634">
        <v>-1</v>
      </c>
      <c r="AI634">
        <v>0</v>
      </c>
      <c r="AJ634">
        <v>1</v>
      </c>
      <c r="AK634" t="str">
        <f>VLOOKUP(AJ634, Lookups!$B$23:$C$28, 2, FALSE)</f>
        <v>Daylight</v>
      </c>
      <c r="AL634">
        <v>1</v>
      </c>
      <c r="AM634" t="str">
        <f>VLOOKUP(AL634, Lookups!$B$30:$C$39, 2, FALSE)</f>
        <v>Fine / Clear</v>
      </c>
      <c r="AN634">
        <v>1</v>
      </c>
      <c r="AO634" t="str">
        <f>VLOOKUP(AN634, Lookups!$B$41:$C$49, 2, FALSE)</f>
        <v>Dry</v>
      </c>
      <c r="AP634">
        <v>-1</v>
      </c>
      <c r="AQ634">
        <v>-1</v>
      </c>
      <c r="AR634">
        <v>0</v>
      </c>
      <c r="AS634">
        <v>1</v>
      </c>
      <c r="AT634">
        <v>3</v>
      </c>
      <c r="AU634">
        <v>2</v>
      </c>
      <c r="AV634" t="s">
        <v>304</v>
      </c>
      <c r="AW634">
        <v>6</v>
      </c>
      <c r="AX634">
        <v>1</v>
      </c>
      <c r="AY634">
        <v>1</v>
      </c>
      <c r="AZ634">
        <v>0</v>
      </c>
    </row>
    <row r="635" spans="1:52" x14ac:dyDescent="0.35">
      <c r="A635">
        <v>2025221635665</v>
      </c>
      <c r="B635">
        <v>2025</v>
      </c>
      <c r="C635">
        <v>221635665</v>
      </c>
      <c r="D635">
        <v>378492</v>
      </c>
      <c r="E635">
        <v>275311</v>
      </c>
      <c r="F635">
        <v>-2.3173599999999999</v>
      </c>
      <c r="G635">
        <v>52.375410000000002</v>
      </c>
      <c r="H635">
        <v>22</v>
      </c>
      <c r="I635">
        <v>3</v>
      </c>
      <c r="J635" t="str">
        <f>VLOOKUP(I635, Lookups!$B$1:$C$4, 2, FALSE)</f>
        <v>Slight</v>
      </c>
      <c r="K635">
        <v>1</v>
      </c>
      <c r="L635">
        <v>1</v>
      </c>
      <c r="M635" s="1">
        <v>45900</v>
      </c>
      <c r="N635">
        <v>1</v>
      </c>
      <c r="O635" t="str">
        <f>VLOOKUP(N635, Lookups!$B$6:$C$12, 2, FALSE)</f>
        <v>Sunday</v>
      </c>
      <c r="P635" s="2">
        <v>0.94513888888888886</v>
      </c>
      <c r="Q635">
        <v>-1</v>
      </c>
      <c r="R635" t="s">
        <v>44</v>
      </c>
      <c r="S635" t="s">
        <v>45</v>
      </c>
      <c r="T635" t="s">
        <v>45</v>
      </c>
      <c r="U635">
        <v>4</v>
      </c>
      <c r="V635" t="str">
        <f>VLOOKUP(U635, Lookups!$B$51:$C$57, 2, FALSE)</f>
        <v>B</v>
      </c>
      <c r="W635">
        <v>4190</v>
      </c>
      <c r="X635" t="str">
        <f t="shared" si="87"/>
        <v>B4190</v>
      </c>
      <c r="Y635">
        <v>6</v>
      </c>
      <c r="Z635" t="str">
        <f>VLOOKUP(Y635, Lookups!$B$14:$C$21, 2, FALSE)</f>
        <v>Single carriageway</v>
      </c>
      <c r="AA635">
        <v>30</v>
      </c>
      <c r="AB635">
        <v>-1</v>
      </c>
      <c r="AC635">
        <v>13</v>
      </c>
      <c r="AD635">
        <v>4</v>
      </c>
      <c r="AE635">
        <v>4</v>
      </c>
      <c r="AF635">
        <v>4190</v>
      </c>
      <c r="AG635">
        <v>-1</v>
      </c>
      <c r="AH635">
        <v>-1</v>
      </c>
      <c r="AI635">
        <v>0</v>
      </c>
      <c r="AJ635">
        <v>4</v>
      </c>
      <c r="AK635" t="str">
        <f>VLOOKUP(AJ635, Lookups!$B$23:$C$28, 2, FALSE)</f>
        <v>Darkness (Lit)</v>
      </c>
      <c r="AL635">
        <v>1</v>
      </c>
      <c r="AM635" t="str">
        <f>VLOOKUP(AL635, Lookups!$B$30:$C$39, 2, FALSE)</f>
        <v>Fine / Clear</v>
      </c>
      <c r="AN635">
        <v>2</v>
      </c>
      <c r="AO635" t="str">
        <f>VLOOKUP(AN635, Lookups!$B$41:$C$49, 2, FALSE)</f>
        <v>Wet / damp</v>
      </c>
      <c r="AP635">
        <v>-1</v>
      </c>
      <c r="AQ635">
        <v>-1</v>
      </c>
      <c r="AR635">
        <v>0</v>
      </c>
      <c r="AS635">
        <v>2</v>
      </c>
      <c r="AT635">
        <v>1</v>
      </c>
      <c r="AU635">
        <v>2</v>
      </c>
      <c r="AV635" t="s">
        <v>89</v>
      </c>
      <c r="AW635">
        <v>3</v>
      </c>
      <c r="AX635">
        <v>1</v>
      </c>
      <c r="AY635">
        <v>0</v>
      </c>
      <c r="AZ635">
        <v>1</v>
      </c>
    </row>
    <row r="636" spans="1:52" x14ac:dyDescent="0.35">
      <c r="A636">
        <v>2025221583256</v>
      </c>
      <c r="B636">
        <v>2025</v>
      </c>
      <c r="C636">
        <v>221583256</v>
      </c>
      <c r="D636">
        <v>396389</v>
      </c>
      <c r="E636">
        <v>273098</v>
      </c>
      <c r="F636">
        <v>-2.05444</v>
      </c>
      <c r="G636">
        <v>52.355930000000001</v>
      </c>
      <c r="H636">
        <v>22</v>
      </c>
      <c r="I636">
        <v>2</v>
      </c>
      <c r="J636" t="str">
        <f>VLOOKUP(I636, Lookups!$B$1:$C$4, 2, FALSE)</f>
        <v>Serious</v>
      </c>
      <c r="K636">
        <v>1</v>
      </c>
      <c r="L636">
        <v>4</v>
      </c>
      <c r="M636" s="1">
        <v>45765</v>
      </c>
      <c r="N636">
        <v>6</v>
      </c>
      <c r="O636" t="str">
        <f>VLOOKUP(N636, Lookups!$B$6:$C$12, 2, FALSE)</f>
        <v>Friday</v>
      </c>
      <c r="P636" s="2">
        <v>2.4305555555555556E-2</v>
      </c>
      <c r="Q636">
        <v>-1</v>
      </c>
      <c r="R636" t="s">
        <v>47</v>
      </c>
      <c r="S636" t="s">
        <v>45</v>
      </c>
      <c r="T636" t="s">
        <v>45</v>
      </c>
      <c r="U636">
        <v>1</v>
      </c>
      <c r="V636" t="str">
        <f>VLOOKUP(U636, Lookups!$B$51:$C$57, 2, FALSE)</f>
        <v>M</v>
      </c>
      <c r="W636">
        <v>42</v>
      </c>
      <c r="X636" t="str">
        <f t="shared" si="87"/>
        <v>M42</v>
      </c>
      <c r="Y636">
        <v>3</v>
      </c>
      <c r="Z636" t="str">
        <f>VLOOKUP(Y636, Lookups!$B$14:$C$21, 2, FALSE)</f>
        <v>Dual carriageway</v>
      </c>
      <c r="AA636">
        <v>70</v>
      </c>
      <c r="AB636">
        <v>-1</v>
      </c>
      <c r="AC636">
        <v>0</v>
      </c>
      <c r="AD636">
        <v>-1</v>
      </c>
      <c r="AE636">
        <v>0</v>
      </c>
      <c r="AF636">
        <v>-1</v>
      </c>
      <c r="AG636">
        <v>-1</v>
      </c>
      <c r="AH636">
        <v>-1</v>
      </c>
      <c r="AI636">
        <v>0</v>
      </c>
      <c r="AJ636">
        <v>4</v>
      </c>
      <c r="AK636" t="str">
        <f>VLOOKUP(AJ636, Lookups!$B$23:$C$28, 2, FALSE)</f>
        <v>Darkness (Lit)</v>
      </c>
      <c r="AL636">
        <v>1</v>
      </c>
      <c r="AM636" t="str">
        <f>VLOOKUP(AL636, Lookups!$B$30:$C$39, 2, FALSE)</f>
        <v>Fine / Clear</v>
      </c>
      <c r="AN636">
        <v>1</v>
      </c>
      <c r="AO636" t="str">
        <f>VLOOKUP(AN636, Lookups!$B$41:$C$49, 2, FALSE)</f>
        <v>Dry</v>
      </c>
      <c r="AP636">
        <v>-1</v>
      </c>
      <c r="AQ636">
        <v>-1</v>
      </c>
      <c r="AR636">
        <v>0</v>
      </c>
      <c r="AS636">
        <v>2</v>
      </c>
      <c r="AT636">
        <v>1</v>
      </c>
      <c r="AU636">
        <v>1</v>
      </c>
      <c r="AV636" t="s">
        <v>223</v>
      </c>
      <c r="AW636">
        <v>5</v>
      </c>
      <c r="AX636">
        <v>1</v>
      </c>
      <c r="AY636">
        <v>1</v>
      </c>
      <c r="AZ636">
        <v>0</v>
      </c>
    </row>
    <row r="637" spans="1:52" x14ac:dyDescent="0.35">
      <c r="A637">
        <v>2025221552582</v>
      </c>
      <c r="B637">
        <v>2025</v>
      </c>
      <c r="C637">
        <v>221552582</v>
      </c>
      <c r="D637">
        <v>384946</v>
      </c>
      <c r="E637">
        <v>255139</v>
      </c>
      <c r="F637">
        <v>-2.2216499999999999</v>
      </c>
      <c r="G637">
        <v>52.194279999999999</v>
      </c>
      <c r="H637">
        <v>22</v>
      </c>
      <c r="I637">
        <v>3</v>
      </c>
      <c r="J637" t="str">
        <f>VLOOKUP(I637, Lookups!$B$1:$C$4, 2, FALSE)</f>
        <v>Slight</v>
      </c>
      <c r="K637">
        <v>2</v>
      </c>
      <c r="L637">
        <v>2</v>
      </c>
      <c r="M637" s="1">
        <v>45690</v>
      </c>
      <c r="N637">
        <v>1</v>
      </c>
      <c r="O637" t="str">
        <f>VLOOKUP(N637, Lookups!$B$6:$C$12, 2, FALSE)</f>
        <v>Sunday</v>
      </c>
      <c r="P637" s="2">
        <v>0.90763888888888888</v>
      </c>
      <c r="Q637">
        <v>-1</v>
      </c>
      <c r="R637" t="s">
        <v>60</v>
      </c>
      <c r="S637" t="s">
        <v>45</v>
      </c>
      <c r="T637" t="s">
        <v>45</v>
      </c>
      <c r="U637">
        <v>3</v>
      </c>
      <c r="V637" t="str">
        <f>VLOOKUP(U637, Lookups!$B$51:$C$57, 2, FALSE)</f>
        <v>A</v>
      </c>
      <c r="W637">
        <v>38</v>
      </c>
      <c r="X637" t="str">
        <f t="shared" si="87"/>
        <v>A38</v>
      </c>
      <c r="Y637">
        <v>6</v>
      </c>
      <c r="Z637" t="str">
        <f>VLOOKUP(Y637, Lookups!$B$14:$C$21, 2, FALSE)</f>
        <v>Single carriageway</v>
      </c>
      <c r="AA637">
        <v>30</v>
      </c>
      <c r="AB637">
        <v>-1</v>
      </c>
      <c r="AC637">
        <v>16</v>
      </c>
      <c r="AD637">
        <v>2</v>
      </c>
      <c r="AE637">
        <v>4</v>
      </c>
      <c r="AF637">
        <v>4205</v>
      </c>
      <c r="AG637">
        <v>-1</v>
      </c>
      <c r="AH637">
        <v>-1</v>
      </c>
      <c r="AI637">
        <v>15</v>
      </c>
      <c r="AJ637">
        <v>4</v>
      </c>
      <c r="AK637" t="str">
        <f>VLOOKUP(AJ637, Lookups!$B$23:$C$28, 2, FALSE)</f>
        <v>Darkness (Lit)</v>
      </c>
      <c r="AL637">
        <v>1</v>
      </c>
      <c r="AM637" t="str">
        <f>VLOOKUP(AL637, Lookups!$B$30:$C$39, 2, FALSE)</f>
        <v>Fine / Clear</v>
      </c>
      <c r="AN637">
        <v>2</v>
      </c>
      <c r="AO637" t="str">
        <f>VLOOKUP(AN637, Lookups!$B$41:$C$49, 2, FALSE)</f>
        <v>Wet / damp</v>
      </c>
      <c r="AP637">
        <v>-1</v>
      </c>
      <c r="AQ637">
        <v>-1</v>
      </c>
      <c r="AR637">
        <v>11</v>
      </c>
      <c r="AS637">
        <v>1</v>
      </c>
      <c r="AT637">
        <v>1</v>
      </c>
      <c r="AU637">
        <v>2</v>
      </c>
      <c r="AV637" t="s">
        <v>88</v>
      </c>
      <c r="AW637">
        <v>3</v>
      </c>
      <c r="AX637">
        <v>1</v>
      </c>
      <c r="AY637">
        <v>0</v>
      </c>
      <c r="AZ637">
        <v>1</v>
      </c>
    </row>
    <row r="638" spans="1:52" x14ac:dyDescent="0.35">
      <c r="A638">
        <v>2025221606670</v>
      </c>
      <c r="B638">
        <v>2025</v>
      </c>
      <c r="C638">
        <v>221606670</v>
      </c>
      <c r="D638">
        <v>383273</v>
      </c>
      <c r="E638">
        <v>276924</v>
      </c>
      <c r="F638">
        <v>-2.2472099999999999</v>
      </c>
      <c r="G638">
        <v>52.390079999999998</v>
      </c>
      <c r="H638">
        <v>22</v>
      </c>
      <c r="I638">
        <v>3</v>
      </c>
      <c r="J638" t="str">
        <f>VLOOKUP(I638, Lookups!$B$1:$C$4, 2, FALSE)</f>
        <v>Slight</v>
      </c>
      <c r="K638">
        <v>2</v>
      </c>
      <c r="L638">
        <v>1</v>
      </c>
      <c r="M638" s="1">
        <v>45831</v>
      </c>
      <c r="N638">
        <v>2</v>
      </c>
      <c r="O638" t="str">
        <f>VLOOKUP(N638, Lookups!$B$6:$C$12, 2, FALSE)</f>
        <v>Monday</v>
      </c>
      <c r="P638" s="2">
        <v>0.71875</v>
      </c>
      <c r="Q638">
        <v>-1</v>
      </c>
      <c r="R638" t="s">
        <v>44</v>
      </c>
      <c r="S638" t="s">
        <v>45</v>
      </c>
      <c r="T638" t="s">
        <v>45</v>
      </c>
      <c r="U638">
        <v>6</v>
      </c>
      <c r="V638" t="str">
        <f>VLOOKUP(U638, Lookups!$B$51:$C$57, 2, FALSE)</f>
        <v>Unclassified</v>
      </c>
      <c r="W638">
        <v>0</v>
      </c>
      <c r="X638" t="s">
        <v>362</v>
      </c>
      <c r="Y638">
        <v>6</v>
      </c>
      <c r="Z638" t="str">
        <f>VLOOKUP(Y638, Lookups!$B$14:$C$21, 2, FALSE)</f>
        <v>Single carriageway</v>
      </c>
      <c r="AA638">
        <v>30</v>
      </c>
      <c r="AB638">
        <v>-1</v>
      </c>
      <c r="AC638">
        <v>19</v>
      </c>
      <c r="AD638">
        <v>4</v>
      </c>
      <c r="AE638">
        <v>6</v>
      </c>
      <c r="AF638">
        <v>0</v>
      </c>
      <c r="AG638">
        <v>-1</v>
      </c>
      <c r="AH638">
        <v>-1</v>
      </c>
      <c r="AI638">
        <v>0</v>
      </c>
      <c r="AJ638">
        <v>1</v>
      </c>
      <c r="AK638" t="str">
        <f>VLOOKUP(AJ638, Lookups!$B$23:$C$28, 2, FALSE)</f>
        <v>Daylight</v>
      </c>
      <c r="AL638">
        <v>1</v>
      </c>
      <c r="AM638" t="str">
        <f>VLOOKUP(AL638, Lookups!$B$30:$C$39, 2, FALSE)</f>
        <v>Fine / Clear</v>
      </c>
      <c r="AN638">
        <v>1</v>
      </c>
      <c r="AO638" t="str">
        <f>VLOOKUP(AN638, Lookups!$B$41:$C$49, 2, FALSE)</f>
        <v>Dry</v>
      </c>
      <c r="AP638">
        <v>-1</v>
      </c>
      <c r="AQ638">
        <v>-1</v>
      </c>
      <c r="AR638">
        <v>0</v>
      </c>
      <c r="AS638">
        <v>1</v>
      </c>
      <c r="AT638">
        <v>3</v>
      </c>
      <c r="AU638">
        <v>2</v>
      </c>
      <c r="AV638" t="s">
        <v>170</v>
      </c>
      <c r="AW638">
        <v>3</v>
      </c>
      <c r="AX638">
        <v>1</v>
      </c>
      <c r="AY638">
        <v>0</v>
      </c>
      <c r="AZ638">
        <v>1</v>
      </c>
    </row>
    <row r="639" spans="1:52" x14ac:dyDescent="0.35">
      <c r="A639">
        <v>2025221614890</v>
      </c>
      <c r="B639">
        <v>2025</v>
      </c>
      <c r="C639">
        <v>221614890</v>
      </c>
      <c r="D639">
        <v>381274</v>
      </c>
      <c r="E639">
        <v>244063</v>
      </c>
      <c r="F639">
        <v>-2.2747600000000001</v>
      </c>
      <c r="G639">
        <v>52.094589999999997</v>
      </c>
      <c r="H639">
        <v>22</v>
      </c>
      <c r="I639">
        <v>2</v>
      </c>
      <c r="J639" t="str">
        <f>VLOOKUP(I639, Lookups!$B$1:$C$4, 2, FALSE)</f>
        <v>Serious</v>
      </c>
      <c r="K639">
        <v>1</v>
      </c>
      <c r="L639">
        <v>1</v>
      </c>
      <c r="M639" s="1">
        <v>45849</v>
      </c>
      <c r="N639">
        <v>6</v>
      </c>
      <c r="O639" t="str">
        <f>VLOOKUP(N639, Lookups!$B$6:$C$12, 2, FALSE)</f>
        <v>Friday</v>
      </c>
      <c r="P639" s="2">
        <v>0.8125</v>
      </c>
      <c r="Q639">
        <v>-1</v>
      </c>
      <c r="R639" t="s">
        <v>49</v>
      </c>
      <c r="S639" t="s">
        <v>45</v>
      </c>
      <c r="T639" t="s">
        <v>45</v>
      </c>
      <c r="U639">
        <v>6</v>
      </c>
      <c r="V639" t="str">
        <f>VLOOKUP(U639, Lookups!$B$51:$C$57, 2, FALSE)</f>
        <v>Unclassified</v>
      </c>
      <c r="W639">
        <v>0</v>
      </c>
      <c r="X639" t="s">
        <v>362</v>
      </c>
      <c r="Y639">
        <v>6</v>
      </c>
      <c r="Z639" t="str">
        <f>VLOOKUP(Y639, Lookups!$B$14:$C$21, 2, FALSE)</f>
        <v>Single carriageway</v>
      </c>
      <c r="AA639">
        <v>60</v>
      </c>
      <c r="AB639">
        <v>-1</v>
      </c>
      <c r="AC639">
        <v>0</v>
      </c>
      <c r="AD639">
        <v>-1</v>
      </c>
      <c r="AE639">
        <v>0</v>
      </c>
      <c r="AF639">
        <v>-1</v>
      </c>
      <c r="AG639">
        <v>-1</v>
      </c>
      <c r="AH639">
        <v>-1</v>
      </c>
      <c r="AI639">
        <v>0</v>
      </c>
      <c r="AJ639">
        <v>1</v>
      </c>
      <c r="AK639" t="str">
        <f>VLOOKUP(AJ639, Lookups!$B$23:$C$28, 2, FALSE)</f>
        <v>Daylight</v>
      </c>
      <c r="AL639">
        <v>1</v>
      </c>
      <c r="AM639" t="str">
        <f>VLOOKUP(AL639, Lookups!$B$30:$C$39, 2, FALSE)</f>
        <v>Fine / Clear</v>
      </c>
      <c r="AN639">
        <v>1</v>
      </c>
      <c r="AO639" t="str">
        <f>VLOOKUP(AN639, Lookups!$B$41:$C$49, 2, FALSE)</f>
        <v>Dry</v>
      </c>
      <c r="AP639">
        <v>-1</v>
      </c>
      <c r="AQ639">
        <v>-1</v>
      </c>
      <c r="AR639">
        <v>0</v>
      </c>
      <c r="AS639">
        <v>2</v>
      </c>
      <c r="AT639">
        <v>1</v>
      </c>
      <c r="AU639">
        <v>2</v>
      </c>
      <c r="AV639" t="s">
        <v>243</v>
      </c>
      <c r="AW639">
        <v>7</v>
      </c>
      <c r="AX639">
        <v>1</v>
      </c>
      <c r="AY639">
        <v>1</v>
      </c>
      <c r="AZ639">
        <v>0</v>
      </c>
    </row>
    <row r="640" spans="1:52" x14ac:dyDescent="0.35">
      <c r="A640">
        <v>2025221674968</v>
      </c>
      <c r="B640">
        <v>2025</v>
      </c>
      <c r="C640">
        <v>221674968</v>
      </c>
      <c r="D640">
        <v>407254</v>
      </c>
      <c r="E640">
        <v>277693</v>
      </c>
      <c r="F640">
        <v>-1.8948199999999999</v>
      </c>
      <c r="G640">
        <v>52.397210000000001</v>
      </c>
      <c r="H640">
        <v>22</v>
      </c>
      <c r="I640">
        <v>2</v>
      </c>
      <c r="J640" t="str">
        <f>VLOOKUP(I640, Lookups!$B$1:$C$4, 2, FALSE)</f>
        <v>Serious</v>
      </c>
      <c r="K640">
        <v>1</v>
      </c>
      <c r="L640">
        <v>1</v>
      </c>
      <c r="M640" s="1">
        <v>45988</v>
      </c>
      <c r="N640">
        <v>5</v>
      </c>
      <c r="O640" t="str">
        <f>VLOOKUP(N640, Lookups!$B$6:$C$12, 2, FALSE)</f>
        <v>Thursday</v>
      </c>
      <c r="P640" s="2">
        <v>0.95763888888888893</v>
      </c>
      <c r="Q640">
        <v>-1</v>
      </c>
      <c r="R640" t="s">
        <v>47</v>
      </c>
      <c r="S640" t="s">
        <v>45</v>
      </c>
      <c r="T640" t="s">
        <v>45</v>
      </c>
      <c r="U640">
        <v>3</v>
      </c>
      <c r="V640" t="str">
        <f>VLOOKUP(U640, Lookups!$B$51:$C$57, 2, FALSE)</f>
        <v>A</v>
      </c>
      <c r="W640">
        <v>435</v>
      </c>
      <c r="X640" t="str">
        <f t="shared" ref="X640:X647" si="88">V640&amp;W640</f>
        <v>A435</v>
      </c>
      <c r="Y640">
        <v>3</v>
      </c>
      <c r="Z640" t="str">
        <f>VLOOKUP(Y640, Lookups!$B$14:$C$21, 2, FALSE)</f>
        <v>Dual carriageway</v>
      </c>
      <c r="AA640">
        <v>70</v>
      </c>
      <c r="AB640">
        <v>-1</v>
      </c>
      <c r="AC640">
        <v>0</v>
      </c>
      <c r="AD640">
        <v>-1</v>
      </c>
      <c r="AE640">
        <v>0</v>
      </c>
      <c r="AF640">
        <v>-1</v>
      </c>
      <c r="AG640">
        <v>-1</v>
      </c>
      <c r="AH640">
        <v>-1</v>
      </c>
      <c r="AI640">
        <v>0</v>
      </c>
      <c r="AJ640">
        <v>6</v>
      </c>
      <c r="AK640" t="str">
        <f>VLOOKUP(AJ640, Lookups!$B$23:$C$28, 2, FALSE)</f>
        <v>Darkness (Unlit)</v>
      </c>
      <c r="AL640">
        <v>1</v>
      </c>
      <c r="AM640" t="str">
        <f>VLOOKUP(AL640, Lookups!$B$30:$C$39, 2, FALSE)</f>
        <v>Fine / Clear</v>
      </c>
      <c r="AN640">
        <v>1</v>
      </c>
      <c r="AO640" t="str">
        <f>VLOOKUP(AN640, Lookups!$B$41:$C$49, 2, FALSE)</f>
        <v>Dry</v>
      </c>
      <c r="AP640">
        <v>-1</v>
      </c>
      <c r="AQ640">
        <v>-1</v>
      </c>
      <c r="AR640">
        <v>0</v>
      </c>
      <c r="AS640">
        <v>2</v>
      </c>
      <c r="AT640">
        <v>1</v>
      </c>
      <c r="AU640">
        <v>2</v>
      </c>
      <c r="AV640" t="s">
        <v>128</v>
      </c>
      <c r="AW640">
        <v>6</v>
      </c>
      <c r="AX640">
        <v>1</v>
      </c>
      <c r="AY640">
        <v>1</v>
      </c>
      <c r="AZ640">
        <v>0</v>
      </c>
    </row>
    <row r="641" spans="1:52" x14ac:dyDescent="0.35">
      <c r="A641">
        <v>2025221604760</v>
      </c>
      <c r="B641">
        <v>2025</v>
      </c>
      <c r="C641">
        <v>221604760</v>
      </c>
      <c r="D641">
        <v>377404</v>
      </c>
      <c r="E641">
        <v>250354</v>
      </c>
      <c r="F641">
        <v>-2.3316599999999998</v>
      </c>
      <c r="G641">
        <v>52.151000000000003</v>
      </c>
      <c r="H641">
        <v>22</v>
      </c>
      <c r="I641">
        <v>2</v>
      </c>
      <c r="J641" t="str">
        <f>VLOOKUP(I641, Lookups!$B$1:$C$4, 2, FALSE)</f>
        <v>Serious</v>
      </c>
      <c r="K641">
        <v>2</v>
      </c>
      <c r="L641">
        <v>2</v>
      </c>
      <c r="M641" s="1">
        <v>45826</v>
      </c>
      <c r="N641">
        <v>4</v>
      </c>
      <c r="O641" t="str">
        <f>VLOOKUP(N641, Lookups!$B$6:$C$12, 2, FALSE)</f>
        <v>Wednesday</v>
      </c>
      <c r="P641" s="2">
        <v>0.91874999999999996</v>
      </c>
      <c r="Q641">
        <v>-1</v>
      </c>
      <c r="R641" t="s">
        <v>49</v>
      </c>
      <c r="S641" t="s">
        <v>45</v>
      </c>
      <c r="T641" t="s">
        <v>45</v>
      </c>
      <c r="U641">
        <v>3</v>
      </c>
      <c r="V641" t="str">
        <f>VLOOKUP(U641, Lookups!$B$51:$C$57, 2, FALSE)</f>
        <v>A</v>
      </c>
      <c r="W641">
        <v>4103</v>
      </c>
      <c r="X641" t="str">
        <f t="shared" si="88"/>
        <v>A4103</v>
      </c>
      <c r="Y641">
        <v>6</v>
      </c>
      <c r="Z641" t="str">
        <f>VLOOKUP(Y641, Lookups!$B$14:$C$21, 2, FALSE)</f>
        <v>Single carriageway</v>
      </c>
      <c r="AA641">
        <v>60</v>
      </c>
      <c r="AB641">
        <v>-1</v>
      </c>
      <c r="AC641">
        <v>18</v>
      </c>
      <c r="AD641">
        <v>4</v>
      </c>
      <c r="AE641">
        <v>6</v>
      </c>
      <c r="AF641">
        <v>0</v>
      </c>
      <c r="AG641">
        <v>-1</v>
      </c>
      <c r="AH641">
        <v>-1</v>
      </c>
      <c r="AI641">
        <v>0</v>
      </c>
      <c r="AJ641">
        <v>6</v>
      </c>
      <c r="AK641" t="str">
        <f>VLOOKUP(AJ641, Lookups!$B$23:$C$28, 2, FALSE)</f>
        <v>Darkness (Unlit)</v>
      </c>
      <c r="AL641">
        <v>1</v>
      </c>
      <c r="AM641" t="str">
        <f>VLOOKUP(AL641, Lookups!$B$30:$C$39, 2, FALSE)</f>
        <v>Fine / Clear</v>
      </c>
      <c r="AN641">
        <v>1</v>
      </c>
      <c r="AO641" t="str">
        <f>VLOOKUP(AN641, Lookups!$B$41:$C$49, 2, FALSE)</f>
        <v>Dry</v>
      </c>
      <c r="AP641">
        <v>-1</v>
      </c>
      <c r="AQ641">
        <v>-1</v>
      </c>
      <c r="AR641">
        <v>0</v>
      </c>
      <c r="AS641">
        <v>2</v>
      </c>
      <c r="AT641">
        <v>1</v>
      </c>
      <c r="AU641">
        <v>2</v>
      </c>
      <c r="AV641" t="s">
        <v>233</v>
      </c>
      <c r="AW641">
        <v>7</v>
      </c>
      <c r="AX641">
        <v>1</v>
      </c>
      <c r="AY641">
        <v>1</v>
      </c>
      <c r="AZ641">
        <v>0</v>
      </c>
    </row>
    <row r="642" spans="1:52" x14ac:dyDescent="0.35">
      <c r="A642">
        <v>2025221675007</v>
      </c>
      <c r="B642">
        <v>2025</v>
      </c>
      <c r="C642">
        <v>221675007</v>
      </c>
      <c r="D642">
        <v>376973</v>
      </c>
      <c r="E642">
        <v>243796</v>
      </c>
      <c r="F642">
        <v>-2.33752</v>
      </c>
      <c r="G642">
        <v>52.092030000000001</v>
      </c>
      <c r="H642">
        <v>22</v>
      </c>
      <c r="I642">
        <v>3</v>
      </c>
      <c r="J642" t="str">
        <f>VLOOKUP(I642, Lookups!$B$1:$C$4, 2, FALSE)</f>
        <v>Slight</v>
      </c>
      <c r="K642">
        <v>2</v>
      </c>
      <c r="L642">
        <v>1</v>
      </c>
      <c r="M642" s="1">
        <v>45989</v>
      </c>
      <c r="N642">
        <v>6</v>
      </c>
      <c r="O642" t="str">
        <f>VLOOKUP(N642, Lookups!$B$6:$C$12, 2, FALSE)</f>
        <v>Friday</v>
      </c>
      <c r="P642" s="2">
        <v>0.28125</v>
      </c>
      <c r="Q642">
        <v>-1</v>
      </c>
      <c r="R642" t="s">
        <v>49</v>
      </c>
      <c r="S642" t="s">
        <v>45</v>
      </c>
      <c r="T642" t="s">
        <v>45</v>
      </c>
      <c r="U642">
        <v>4</v>
      </c>
      <c r="V642" t="str">
        <f>VLOOKUP(U642, Lookups!$B$51:$C$57, 2, FALSE)</f>
        <v>B</v>
      </c>
      <c r="W642">
        <v>4218</v>
      </c>
      <c r="X642" t="str">
        <f t="shared" si="88"/>
        <v>B4218</v>
      </c>
      <c r="Y642">
        <v>6</v>
      </c>
      <c r="Z642" t="str">
        <f>VLOOKUP(Y642, Lookups!$B$14:$C$21, 2, FALSE)</f>
        <v>Single carriageway</v>
      </c>
      <c r="AA642">
        <v>30</v>
      </c>
      <c r="AB642">
        <v>-1</v>
      </c>
      <c r="AC642">
        <v>0</v>
      </c>
      <c r="AD642">
        <v>-1</v>
      </c>
      <c r="AE642">
        <v>6</v>
      </c>
      <c r="AF642">
        <v>0</v>
      </c>
      <c r="AG642">
        <v>-1</v>
      </c>
      <c r="AH642">
        <v>-1</v>
      </c>
      <c r="AI642">
        <v>0</v>
      </c>
      <c r="AJ642">
        <v>1</v>
      </c>
      <c r="AK642" t="str">
        <f>VLOOKUP(AJ642, Lookups!$B$23:$C$28, 2, FALSE)</f>
        <v>Daylight</v>
      </c>
      <c r="AL642">
        <v>1</v>
      </c>
      <c r="AM642" t="str">
        <f>VLOOKUP(AL642, Lookups!$B$30:$C$39, 2, FALSE)</f>
        <v>Fine / Clear</v>
      </c>
      <c r="AN642">
        <v>2</v>
      </c>
      <c r="AO642" t="str">
        <f>VLOOKUP(AN642, Lookups!$B$41:$C$49, 2, FALSE)</f>
        <v>Wet / damp</v>
      </c>
      <c r="AP642">
        <v>-1</v>
      </c>
      <c r="AQ642">
        <v>-1</v>
      </c>
      <c r="AR642">
        <v>0</v>
      </c>
      <c r="AS642">
        <v>1</v>
      </c>
      <c r="AT642">
        <v>1</v>
      </c>
      <c r="AU642">
        <v>2</v>
      </c>
      <c r="AV642" t="s">
        <v>305</v>
      </c>
      <c r="AW642">
        <v>3</v>
      </c>
      <c r="AX642">
        <v>1</v>
      </c>
      <c r="AY642">
        <v>0</v>
      </c>
      <c r="AZ642">
        <v>1</v>
      </c>
    </row>
    <row r="643" spans="1:52" x14ac:dyDescent="0.35">
      <c r="A643">
        <v>2025221669904</v>
      </c>
      <c r="B643">
        <v>2025</v>
      </c>
      <c r="C643">
        <v>221669904</v>
      </c>
      <c r="D643">
        <v>378637</v>
      </c>
      <c r="E643">
        <v>273028</v>
      </c>
      <c r="F643">
        <v>-2.3150900000000001</v>
      </c>
      <c r="G643">
        <v>52.354889999999997</v>
      </c>
      <c r="H643">
        <v>22</v>
      </c>
      <c r="I643">
        <v>3</v>
      </c>
      <c r="J643" t="str">
        <f>VLOOKUP(I643, Lookups!$B$1:$C$4, 2, FALSE)</f>
        <v>Slight</v>
      </c>
      <c r="K643">
        <v>2</v>
      </c>
      <c r="L643">
        <v>1</v>
      </c>
      <c r="M643" s="1">
        <v>45978</v>
      </c>
      <c r="N643">
        <v>2</v>
      </c>
      <c r="O643" t="str">
        <f>VLOOKUP(N643, Lookups!$B$6:$C$12, 2, FALSE)</f>
        <v>Monday</v>
      </c>
      <c r="P643" s="2">
        <v>0.70138888888888884</v>
      </c>
      <c r="Q643">
        <v>-1</v>
      </c>
      <c r="R643" t="s">
        <v>44</v>
      </c>
      <c r="S643" t="s">
        <v>45</v>
      </c>
      <c r="T643" t="s">
        <v>45</v>
      </c>
      <c r="U643">
        <v>4</v>
      </c>
      <c r="V643" t="str">
        <f>VLOOKUP(U643, Lookups!$B$51:$C$57, 2, FALSE)</f>
        <v>B</v>
      </c>
      <c r="W643">
        <v>4194</v>
      </c>
      <c r="X643" t="str">
        <f t="shared" si="88"/>
        <v>B4194</v>
      </c>
      <c r="Y643">
        <v>6</v>
      </c>
      <c r="Z643" t="str">
        <f>VLOOKUP(Y643, Lookups!$B$14:$C$21, 2, FALSE)</f>
        <v>Single carriageway</v>
      </c>
      <c r="AA643">
        <v>60</v>
      </c>
      <c r="AB643">
        <v>-1</v>
      </c>
      <c r="AC643">
        <v>0</v>
      </c>
      <c r="AD643">
        <v>-1</v>
      </c>
      <c r="AE643">
        <v>6</v>
      </c>
      <c r="AF643">
        <v>0</v>
      </c>
      <c r="AG643">
        <v>-1</v>
      </c>
      <c r="AH643">
        <v>-1</v>
      </c>
      <c r="AI643">
        <v>0</v>
      </c>
      <c r="AJ643">
        <v>6</v>
      </c>
      <c r="AK643" t="str">
        <f>VLOOKUP(AJ643, Lookups!$B$23:$C$28, 2, FALSE)</f>
        <v>Darkness (Unlit)</v>
      </c>
      <c r="AL643">
        <v>1</v>
      </c>
      <c r="AM643" t="str">
        <f>VLOOKUP(AL643, Lookups!$B$30:$C$39, 2, FALSE)</f>
        <v>Fine / Clear</v>
      </c>
      <c r="AN643">
        <v>1</v>
      </c>
      <c r="AO643" t="str">
        <f>VLOOKUP(AN643, Lookups!$B$41:$C$49, 2, FALSE)</f>
        <v>Dry</v>
      </c>
      <c r="AP643">
        <v>-1</v>
      </c>
      <c r="AQ643">
        <v>-1</v>
      </c>
      <c r="AR643">
        <v>0</v>
      </c>
      <c r="AS643">
        <v>2</v>
      </c>
      <c r="AT643">
        <v>1</v>
      </c>
      <c r="AU643">
        <v>2</v>
      </c>
      <c r="AV643" t="s">
        <v>89</v>
      </c>
      <c r="AW643">
        <v>3</v>
      </c>
      <c r="AX643">
        <v>1</v>
      </c>
      <c r="AY643">
        <v>0</v>
      </c>
      <c r="AZ643">
        <v>1</v>
      </c>
    </row>
    <row r="644" spans="1:52" x14ac:dyDescent="0.35">
      <c r="A644">
        <v>2025221695510</v>
      </c>
      <c r="B644">
        <v>2025</v>
      </c>
      <c r="C644">
        <v>221695510</v>
      </c>
      <c r="D644">
        <v>406669</v>
      </c>
      <c r="E644">
        <v>264623</v>
      </c>
      <c r="F644">
        <v>-1.90367</v>
      </c>
      <c r="G644">
        <v>52.279710000000001</v>
      </c>
      <c r="H644">
        <v>22</v>
      </c>
      <c r="I644">
        <v>3</v>
      </c>
      <c r="J644" t="str">
        <f>VLOOKUP(I644, Lookups!$B$1:$C$4, 2, FALSE)</f>
        <v>Slight</v>
      </c>
      <c r="K644">
        <v>2</v>
      </c>
      <c r="L644">
        <v>1</v>
      </c>
      <c r="M644" s="1">
        <v>46014</v>
      </c>
      <c r="N644">
        <v>3</v>
      </c>
      <c r="O644" t="str">
        <f>VLOOKUP(N644, Lookups!$B$6:$C$12, 2, FALSE)</f>
        <v>Tuesday</v>
      </c>
      <c r="P644" s="2">
        <v>0.5083333333333333</v>
      </c>
      <c r="Q644">
        <v>-1</v>
      </c>
      <c r="R644" t="s">
        <v>69</v>
      </c>
      <c r="S644" t="s">
        <v>45</v>
      </c>
      <c r="T644" t="s">
        <v>45</v>
      </c>
      <c r="U644">
        <v>4</v>
      </c>
      <c r="V644" t="str">
        <f>VLOOKUP(U644, Lookups!$B$51:$C$57, 2, FALSE)</f>
        <v>B</v>
      </c>
      <c r="W644">
        <v>4093</v>
      </c>
      <c r="X644" t="str">
        <f t="shared" si="88"/>
        <v>B4093</v>
      </c>
      <c r="Y644">
        <v>6</v>
      </c>
      <c r="Z644" t="str">
        <f>VLOOKUP(Y644, Lookups!$B$14:$C$21, 2, FALSE)</f>
        <v>Single carriageway</v>
      </c>
      <c r="AA644">
        <v>40</v>
      </c>
      <c r="AB644">
        <v>-1</v>
      </c>
      <c r="AC644">
        <v>13</v>
      </c>
      <c r="AD644">
        <v>4</v>
      </c>
      <c r="AE644">
        <v>6</v>
      </c>
      <c r="AF644">
        <v>0</v>
      </c>
      <c r="AG644">
        <v>-1</v>
      </c>
      <c r="AH644">
        <v>-1</v>
      </c>
      <c r="AI644">
        <v>0</v>
      </c>
      <c r="AJ644">
        <v>1</v>
      </c>
      <c r="AK644" t="str">
        <f>VLOOKUP(AJ644, Lookups!$B$23:$C$28, 2, FALSE)</f>
        <v>Daylight</v>
      </c>
      <c r="AL644">
        <v>1</v>
      </c>
      <c r="AM644" t="str">
        <f>VLOOKUP(AL644, Lookups!$B$30:$C$39, 2, FALSE)</f>
        <v>Fine / Clear</v>
      </c>
      <c r="AN644">
        <v>2</v>
      </c>
      <c r="AO644" t="str">
        <f>VLOOKUP(AN644, Lookups!$B$41:$C$49, 2, FALSE)</f>
        <v>Wet / damp</v>
      </c>
      <c r="AP644">
        <v>-1</v>
      </c>
      <c r="AQ644">
        <v>-1</v>
      </c>
      <c r="AR644">
        <v>0</v>
      </c>
      <c r="AS644">
        <v>2</v>
      </c>
      <c r="AT644">
        <v>1</v>
      </c>
      <c r="AU644">
        <v>2</v>
      </c>
      <c r="AV644" t="s">
        <v>70</v>
      </c>
      <c r="AW644">
        <v>3</v>
      </c>
      <c r="AX644">
        <v>1</v>
      </c>
      <c r="AY644">
        <v>0</v>
      </c>
      <c r="AZ644">
        <v>1</v>
      </c>
    </row>
    <row r="645" spans="1:52" x14ac:dyDescent="0.35">
      <c r="A645">
        <v>2025221572124</v>
      </c>
      <c r="B645">
        <v>2025</v>
      </c>
      <c r="C645">
        <v>221572124</v>
      </c>
      <c r="D645">
        <v>383436</v>
      </c>
      <c r="E645">
        <v>274784</v>
      </c>
      <c r="F645">
        <v>-2.24471</v>
      </c>
      <c r="G645">
        <v>52.370849999999997</v>
      </c>
      <c r="H645">
        <v>22</v>
      </c>
      <c r="I645">
        <v>3</v>
      </c>
      <c r="J645" t="str">
        <f>VLOOKUP(I645, Lookups!$B$1:$C$4, 2, FALSE)</f>
        <v>Slight</v>
      </c>
      <c r="K645">
        <v>2</v>
      </c>
      <c r="L645">
        <v>1</v>
      </c>
      <c r="M645" s="1">
        <v>45744</v>
      </c>
      <c r="N645">
        <v>6</v>
      </c>
      <c r="O645" t="str">
        <f>VLOOKUP(N645, Lookups!$B$6:$C$12, 2, FALSE)</f>
        <v>Friday</v>
      </c>
      <c r="P645" s="2">
        <v>0.81111111111111112</v>
      </c>
      <c r="Q645">
        <v>-1</v>
      </c>
      <c r="R645" t="s">
        <v>44</v>
      </c>
      <c r="S645" t="s">
        <v>45</v>
      </c>
      <c r="T645" t="s">
        <v>45</v>
      </c>
      <c r="U645">
        <v>3</v>
      </c>
      <c r="V645" t="str">
        <f>VLOOKUP(U645, Lookups!$B$51:$C$57, 2, FALSE)</f>
        <v>A</v>
      </c>
      <c r="W645">
        <v>449</v>
      </c>
      <c r="X645" t="str">
        <f t="shared" si="88"/>
        <v>A449</v>
      </c>
      <c r="Y645">
        <v>3</v>
      </c>
      <c r="Z645" t="str">
        <f>VLOOKUP(Y645, Lookups!$B$14:$C$21, 2, FALSE)</f>
        <v>Dual carriageway</v>
      </c>
      <c r="AA645">
        <v>40</v>
      </c>
      <c r="AB645">
        <v>-1</v>
      </c>
      <c r="AC645">
        <v>-1</v>
      </c>
      <c r="AD645">
        <v>4</v>
      </c>
      <c r="AE645">
        <v>3</v>
      </c>
      <c r="AF645">
        <v>449</v>
      </c>
      <c r="AG645">
        <v>-1</v>
      </c>
      <c r="AH645">
        <v>-1</v>
      </c>
      <c r="AI645">
        <v>0</v>
      </c>
      <c r="AJ645">
        <v>4</v>
      </c>
      <c r="AK645" t="str">
        <f>VLOOKUP(AJ645, Lookups!$B$23:$C$28, 2, FALSE)</f>
        <v>Darkness (Lit)</v>
      </c>
      <c r="AL645">
        <v>1</v>
      </c>
      <c r="AM645" t="str">
        <f>VLOOKUP(AL645, Lookups!$B$30:$C$39, 2, FALSE)</f>
        <v>Fine / Clear</v>
      </c>
      <c r="AN645">
        <v>1</v>
      </c>
      <c r="AO645" t="str">
        <f>VLOOKUP(AN645, Lookups!$B$41:$C$49, 2, FALSE)</f>
        <v>Dry</v>
      </c>
      <c r="AP645">
        <v>-1</v>
      </c>
      <c r="AQ645">
        <v>-1</v>
      </c>
      <c r="AR645">
        <v>0</v>
      </c>
      <c r="AS645">
        <v>1</v>
      </c>
      <c r="AT645">
        <v>1</v>
      </c>
      <c r="AU645">
        <v>2</v>
      </c>
      <c r="AV645" t="s">
        <v>96</v>
      </c>
      <c r="AW645">
        <v>3</v>
      </c>
      <c r="AX645">
        <v>1</v>
      </c>
      <c r="AY645">
        <v>0</v>
      </c>
      <c r="AZ645">
        <v>1</v>
      </c>
    </row>
    <row r="646" spans="1:52" x14ac:dyDescent="0.35">
      <c r="A646">
        <v>2025221604917</v>
      </c>
      <c r="B646">
        <v>2025</v>
      </c>
      <c r="C646">
        <v>221604917</v>
      </c>
      <c r="D646">
        <v>388005</v>
      </c>
      <c r="E646">
        <v>254937</v>
      </c>
      <c r="F646">
        <v>-2.1768900000000002</v>
      </c>
      <c r="G646">
        <v>52.192540000000001</v>
      </c>
      <c r="H646">
        <v>22</v>
      </c>
      <c r="I646">
        <v>3</v>
      </c>
      <c r="J646" t="str">
        <f>VLOOKUP(I646, Lookups!$B$1:$C$4, 2, FALSE)</f>
        <v>Slight</v>
      </c>
      <c r="K646">
        <v>2</v>
      </c>
      <c r="L646">
        <v>1</v>
      </c>
      <c r="M646" s="1">
        <v>45824</v>
      </c>
      <c r="N646">
        <v>2</v>
      </c>
      <c r="O646" t="str">
        <f>VLOOKUP(N646, Lookups!$B$6:$C$12, 2, FALSE)</f>
        <v>Monday</v>
      </c>
      <c r="P646" s="2">
        <v>0.67708333333333337</v>
      </c>
      <c r="Q646">
        <v>-1</v>
      </c>
      <c r="R646" t="s">
        <v>60</v>
      </c>
      <c r="S646" t="s">
        <v>45</v>
      </c>
      <c r="T646" t="s">
        <v>45</v>
      </c>
      <c r="U646">
        <v>4</v>
      </c>
      <c r="V646" t="str">
        <f>VLOOKUP(U646, Lookups!$B$51:$C$57, 2, FALSE)</f>
        <v>B</v>
      </c>
      <c r="W646">
        <v>4636</v>
      </c>
      <c r="X646" t="str">
        <f t="shared" si="88"/>
        <v>B4636</v>
      </c>
      <c r="Y646">
        <v>6</v>
      </c>
      <c r="Z646" t="str">
        <f>VLOOKUP(Y646, Lookups!$B$14:$C$21, 2, FALSE)</f>
        <v>Single carriageway</v>
      </c>
      <c r="AA646">
        <v>30</v>
      </c>
      <c r="AB646">
        <v>-1</v>
      </c>
      <c r="AC646">
        <v>17</v>
      </c>
      <c r="AD646">
        <v>4</v>
      </c>
      <c r="AE646">
        <v>4</v>
      </c>
      <c r="AF646">
        <v>4636</v>
      </c>
      <c r="AG646">
        <v>-1</v>
      </c>
      <c r="AH646">
        <v>-1</v>
      </c>
      <c r="AI646">
        <v>14</v>
      </c>
      <c r="AJ646">
        <v>1</v>
      </c>
      <c r="AK646" t="str">
        <f>VLOOKUP(AJ646, Lookups!$B$23:$C$28, 2, FALSE)</f>
        <v>Daylight</v>
      </c>
      <c r="AL646">
        <v>1</v>
      </c>
      <c r="AM646" t="str">
        <f>VLOOKUP(AL646, Lookups!$B$30:$C$39, 2, FALSE)</f>
        <v>Fine / Clear</v>
      </c>
      <c r="AN646">
        <v>1</v>
      </c>
      <c r="AO646" t="str">
        <f>VLOOKUP(AN646, Lookups!$B$41:$C$49, 2, FALSE)</f>
        <v>Dry</v>
      </c>
      <c r="AP646">
        <v>-1</v>
      </c>
      <c r="AQ646">
        <v>-1</v>
      </c>
      <c r="AR646">
        <v>0</v>
      </c>
      <c r="AS646">
        <v>1</v>
      </c>
      <c r="AT646">
        <v>3</v>
      </c>
      <c r="AU646">
        <v>2</v>
      </c>
      <c r="AV646" t="s">
        <v>75</v>
      </c>
      <c r="AW646">
        <v>3</v>
      </c>
      <c r="AX646">
        <v>1</v>
      </c>
      <c r="AY646">
        <v>0</v>
      </c>
      <c r="AZ646">
        <v>1</v>
      </c>
    </row>
    <row r="647" spans="1:52" x14ac:dyDescent="0.35">
      <c r="A647">
        <v>2025221606484</v>
      </c>
      <c r="B647">
        <v>2025</v>
      </c>
      <c r="C647">
        <v>221606484</v>
      </c>
      <c r="D647">
        <v>395665</v>
      </c>
      <c r="E647">
        <v>273639</v>
      </c>
      <c r="F647">
        <v>-2.06508</v>
      </c>
      <c r="G647">
        <v>52.360790000000001</v>
      </c>
      <c r="H647">
        <v>22</v>
      </c>
      <c r="I647">
        <v>3</v>
      </c>
      <c r="J647" t="str">
        <f>VLOOKUP(I647, Lookups!$B$1:$C$4, 2, FALSE)</f>
        <v>Slight</v>
      </c>
      <c r="K647">
        <v>2</v>
      </c>
      <c r="L647">
        <v>1</v>
      </c>
      <c r="M647" s="1">
        <v>45831</v>
      </c>
      <c r="N647">
        <v>2</v>
      </c>
      <c r="O647" t="str">
        <f>VLOOKUP(N647, Lookups!$B$6:$C$12, 2, FALSE)</f>
        <v>Monday</v>
      </c>
      <c r="P647" s="2">
        <v>0.29583333333333334</v>
      </c>
      <c r="Q647">
        <v>-1</v>
      </c>
      <c r="R647" t="s">
        <v>47</v>
      </c>
      <c r="S647" t="s">
        <v>45</v>
      </c>
      <c r="T647" t="s">
        <v>45</v>
      </c>
      <c r="U647">
        <v>4</v>
      </c>
      <c r="V647" t="str">
        <f>VLOOKUP(U647, Lookups!$B$51:$C$57, 2, FALSE)</f>
        <v>B</v>
      </c>
      <c r="W647">
        <v>4091</v>
      </c>
      <c r="X647" t="str">
        <f t="shared" si="88"/>
        <v>B4091</v>
      </c>
      <c r="Y647">
        <v>6</v>
      </c>
      <c r="Z647" t="str">
        <f>VLOOKUP(Y647, Lookups!$B$14:$C$21, 2, FALSE)</f>
        <v>Single carriageway</v>
      </c>
      <c r="AA647">
        <v>30</v>
      </c>
      <c r="AB647">
        <v>-1</v>
      </c>
      <c r="AC647">
        <v>-1</v>
      </c>
      <c r="AD647">
        <v>4</v>
      </c>
      <c r="AE647">
        <v>4</v>
      </c>
      <c r="AF647">
        <v>4185</v>
      </c>
      <c r="AG647">
        <v>-1</v>
      </c>
      <c r="AH647">
        <v>-1</v>
      </c>
      <c r="AI647">
        <v>0</v>
      </c>
      <c r="AJ647">
        <v>1</v>
      </c>
      <c r="AK647" t="str">
        <f>VLOOKUP(AJ647, Lookups!$B$23:$C$28, 2, FALSE)</f>
        <v>Daylight</v>
      </c>
      <c r="AL647">
        <v>1</v>
      </c>
      <c r="AM647" t="str">
        <f>VLOOKUP(AL647, Lookups!$B$30:$C$39, 2, FALSE)</f>
        <v>Fine / Clear</v>
      </c>
      <c r="AN647">
        <v>1</v>
      </c>
      <c r="AO647" t="str">
        <f>VLOOKUP(AN647, Lookups!$B$41:$C$49, 2, FALSE)</f>
        <v>Dry</v>
      </c>
      <c r="AP647">
        <v>-1</v>
      </c>
      <c r="AQ647">
        <v>-1</v>
      </c>
      <c r="AR647">
        <v>0</v>
      </c>
      <c r="AS647">
        <v>1</v>
      </c>
      <c r="AT647">
        <v>3</v>
      </c>
      <c r="AU647">
        <v>2</v>
      </c>
      <c r="AV647" t="s">
        <v>303</v>
      </c>
      <c r="AW647">
        <v>3</v>
      </c>
      <c r="AX647">
        <v>1</v>
      </c>
      <c r="AY647">
        <v>0</v>
      </c>
      <c r="AZ647">
        <v>1</v>
      </c>
    </row>
    <row r="648" spans="1:52" x14ac:dyDescent="0.35">
      <c r="A648">
        <v>2025221611236</v>
      </c>
      <c r="B648">
        <v>2025</v>
      </c>
      <c r="C648">
        <v>221611236</v>
      </c>
      <c r="D648">
        <v>385576</v>
      </c>
      <c r="E648">
        <v>255024</v>
      </c>
      <c r="F648">
        <v>-2.2124299999999999</v>
      </c>
      <c r="G648">
        <v>52.193260000000002</v>
      </c>
      <c r="H648">
        <v>22</v>
      </c>
      <c r="I648">
        <v>3</v>
      </c>
      <c r="J648" t="str">
        <f>VLOOKUP(I648, Lookups!$B$1:$C$4, 2, FALSE)</f>
        <v>Slight</v>
      </c>
      <c r="K648">
        <v>2</v>
      </c>
      <c r="L648">
        <v>1</v>
      </c>
      <c r="M648" s="1">
        <v>45841</v>
      </c>
      <c r="N648">
        <v>5</v>
      </c>
      <c r="O648" t="str">
        <f>VLOOKUP(N648, Lookups!$B$6:$C$12, 2, FALSE)</f>
        <v>Thursday</v>
      </c>
      <c r="P648" s="2">
        <v>0.67013888888888884</v>
      </c>
      <c r="Q648">
        <v>-1</v>
      </c>
      <c r="R648" t="s">
        <v>60</v>
      </c>
      <c r="S648" t="s">
        <v>45</v>
      </c>
      <c r="T648" t="s">
        <v>45</v>
      </c>
      <c r="U648">
        <v>6</v>
      </c>
      <c r="V648" t="str">
        <f>VLOOKUP(U648, Lookups!$B$51:$C$57, 2, FALSE)</f>
        <v>Unclassified</v>
      </c>
      <c r="W648">
        <v>0</v>
      </c>
      <c r="X648" t="s">
        <v>362</v>
      </c>
      <c r="Y648">
        <v>6</v>
      </c>
      <c r="Z648" t="str">
        <f>VLOOKUP(Y648, Lookups!$B$14:$C$21, 2, FALSE)</f>
        <v>Single carriageway</v>
      </c>
      <c r="AA648">
        <v>30</v>
      </c>
      <c r="AB648">
        <v>-1</v>
      </c>
      <c r="AC648">
        <v>19</v>
      </c>
      <c r="AD648">
        <v>4</v>
      </c>
      <c r="AE648">
        <v>6</v>
      </c>
      <c r="AF648">
        <v>0</v>
      </c>
      <c r="AG648">
        <v>-1</v>
      </c>
      <c r="AH648">
        <v>-1</v>
      </c>
      <c r="AI648">
        <v>17</v>
      </c>
      <c r="AJ648">
        <v>1</v>
      </c>
      <c r="AK648" t="str">
        <f>VLOOKUP(AJ648, Lookups!$B$23:$C$28, 2, FALSE)</f>
        <v>Daylight</v>
      </c>
      <c r="AL648">
        <v>1</v>
      </c>
      <c r="AM648" t="str">
        <f>VLOOKUP(AL648, Lookups!$B$30:$C$39, 2, FALSE)</f>
        <v>Fine / Clear</v>
      </c>
      <c r="AN648">
        <v>1</v>
      </c>
      <c r="AO648" t="str">
        <f>VLOOKUP(AN648, Lookups!$B$41:$C$49, 2, FALSE)</f>
        <v>Dry</v>
      </c>
      <c r="AP648">
        <v>-1</v>
      </c>
      <c r="AQ648">
        <v>-1</v>
      </c>
      <c r="AR648">
        <v>0</v>
      </c>
      <c r="AS648">
        <v>1</v>
      </c>
      <c r="AT648">
        <v>3</v>
      </c>
      <c r="AU648">
        <v>2</v>
      </c>
      <c r="AV648" t="s">
        <v>122</v>
      </c>
      <c r="AW648">
        <v>3</v>
      </c>
      <c r="AX648">
        <v>1</v>
      </c>
      <c r="AY648">
        <v>0</v>
      </c>
      <c r="AZ648">
        <v>1</v>
      </c>
    </row>
    <row r="649" spans="1:52" x14ac:dyDescent="0.35">
      <c r="A649">
        <v>2025221676907</v>
      </c>
      <c r="B649">
        <v>2025</v>
      </c>
      <c r="C649">
        <v>221676907</v>
      </c>
      <c r="D649">
        <v>403798</v>
      </c>
      <c r="E649">
        <v>273764</v>
      </c>
      <c r="F649">
        <v>-1.9456500000000001</v>
      </c>
      <c r="G649">
        <v>52.361919999999998</v>
      </c>
      <c r="H649">
        <v>22</v>
      </c>
      <c r="I649">
        <v>3</v>
      </c>
      <c r="J649" t="str">
        <f>VLOOKUP(I649, Lookups!$B$1:$C$4, 2, FALSE)</f>
        <v>Slight</v>
      </c>
      <c r="K649">
        <v>2</v>
      </c>
      <c r="L649">
        <v>4</v>
      </c>
      <c r="M649" s="1">
        <v>45993</v>
      </c>
      <c r="N649">
        <v>3</v>
      </c>
      <c r="O649" t="str">
        <f>VLOOKUP(N649, Lookups!$B$6:$C$12, 2, FALSE)</f>
        <v>Tuesday</v>
      </c>
      <c r="P649" s="2">
        <v>0.30694444444444446</v>
      </c>
      <c r="Q649">
        <v>-1</v>
      </c>
      <c r="R649" t="s">
        <v>47</v>
      </c>
      <c r="S649" t="s">
        <v>45</v>
      </c>
      <c r="T649" t="s">
        <v>45</v>
      </c>
      <c r="U649">
        <v>1</v>
      </c>
      <c r="V649" t="str">
        <f>VLOOKUP(U649, Lookups!$B$51:$C$57, 2, FALSE)</f>
        <v>M</v>
      </c>
      <c r="W649">
        <v>42</v>
      </c>
      <c r="X649" t="str">
        <f>V649&amp;W649</f>
        <v>M42</v>
      </c>
      <c r="Y649">
        <v>3</v>
      </c>
      <c r="Z649" t="str">
        <f>VLOOKUP(Y649, Lookups!$B$14:$C$21, 2, FALSE)</f>
        <v>Dual carriageway</v>
      </c>
      <c r="AA649">
        <v>70</v>
      </c>
      <c r="AB649">
        <v>-1</v>
      </c>
      <c r="AC649">
        <v>0</v>
      </c>
      <c r="AD649">
        <v>-1</v>
      </c>
      <c r="AE649">
        <v>1</v>
      </c>
      <c r="AF649">
        <v>42</v>
      </c>
      <c r="AG649">
        <v>-1</v>
      </c>
      <c r="AH649">
        <v>-1</v>
      </c>
      <c r="AI649">
        <v>0</v>
      </c>
      <c r="AJ649">
        <v>4</v>
      </c>
      <c r="AK649" t="str">
        <f>VLOOKUP(AJ649, Lookups!$B$23:$C$28, 2, FALSE)</f>
        <v>Darkness (Lit)</v>
      </c>
      <c r="AL649">
        <v>1</v>
      </c>
      <c r="AM649" t="str">
        <f>VLOOKUP(AL649, Lookups!$B$30:$C$39, 2, FALSE)</f>
        <v>Fine / Clear</v>
      </c>
      <c r="AN649">
        <v>1</v>
      </c>
      <c r="AO649" t="str">
        <f>VLOOKUP(AN649, Lookups!$B$41:$C$49, 2, FALSE)</f>
        <v>Dry</v>
      </c>
      <c r="AP649">
        <v>-1</v>
      </c>
      <c r="AQ649">
        <v>-1</v>
      </c>
      <c r="AR649">
        <v>0</v>
      </c>
      <c r="AS649">
        <v>2</v>
      </c>
      <c r="AT649">
        <v>1</v>
      </c>
      <c r="AU649">
        <v>1</v>
      </c>
      <c r="AV649" t="s">
        <v>77</v>
      </c>
      <c r="AW649">
        <v>3</v>
      </c>
      <c r="AX649">
        <v>1</v>
      </c>
      <c r="AY649">
        <v>0</v>
      </c>
      <c r="AZ649">
        <v>1</v>
      </c>
    </row>
    <row r="650" spans="1:52" x14ac:dyDescent="0.35">
      <c r="A650">
        <v>2025221551212</v>
      </c>
      <c r="B650">
        <v>2025</v>
      </c>
      <c r="C650">
        <v>221551212</v>
      </c>
      <c r="D650">
        <v>405371</v>
      </c>
      <c r="E650">
        <v>266606</v>
      </c>
      <c r="F650">
        <v>-1.92266</v>
      </c>
      <c r="G650">
        <v>52.297550000000001</v>
      </c>
      <c r="H650">
        <v>22</v>
      </c>
      <c r="I650">
        <v>3</v>
      </c>
      <c r="J650" t="str">
        <f>VLOOKUP(I650, Lookups!$B$1:$C$4, 2, FALSE)</f>
        <v>Slight</v>
      </c>
      <c r="K650">
        <v>1</v>
      </c>
      <c r="L650">
        <v>1</v>
      </c>
      <c r="M650" s="1">
        <v>45691</v>
      </c>
      <c r="N650">
        <v>2</v>
      </c>
      <c r="O650" t="str">
        <f>VLOOKUP(N650, Lookups!$B$6:$C$12, 2, FALSE)</f>
        <v>Monday</v>
      </c>
      <c r="P650" s="2">
        <v>0.75</v>
      </c>
      <c r="Q650">
        <v>-1</v>
      </c>
      <c r="R650" t="s">
        <v>69</v>
      </c>
      <c r="S650" t="s">
        <v>45</v>
      </c>
      <c r="T650" t="s">
        <v>45</v>
      </c>
      <c r="U650">
        <v>6</v>
      </c>
      <c r="V650" t="str">
        <f>VLOOKUP(U650, Lookups!$B$51:$C$57, 2, FALSE)</f>
        <v>Unclassified</v>
      </c>
      <c r="W650">
        <v>0</v>
      </c>
      <c r="X650" t="s">
        <v>362</v>
      </c>
      <c r="Y650">
        <v>6</v>
      </c>
      <c r="Z650" t="str">
        <f>VLOOKUP(Y650, Lookups!$B$14:$C$21, 2, FALSE)</f>
        <v>Single carriageway</v>
      </c>
      <c r="AA650">
        <v>30</v>
      </c>
      <c r="AB650">
        <v>-1</v>
      </c>
      <c r="AC650">
        <v>-1</v>
      </c>
      <c r="AD650">
        <v>4</v>
      </c>
      <c r="AE650">
        <v>6</v>
      </c>
      <c r="AF650">
        <v>0</v>
      </c>
      <c r="AG650">
        <v>-1</v>
      </c>
      <c r="AH650">
        <v>-1</v>
      </c>
      <c r="AI650">
        <v>17</v>
      </c>
      <c r="AJ650">
        <v>5</v>
      </c>
      <c r="AK650" t="str">
        <f>VLOOKUP(AJ650, Lookups!$B$23:$C$28, 2, FALSE)</f>
        <v>Darkness (Unlit)</v>
      </c>
      <c r="AL650">
        <v>1</v>
      </c>
      <c r="AM650" t="str">
        <f>VLOOKUP(AL650, Lookups!$B$30:$C$39, 2, FALSE)</f>
        <v>Fine / Clear</v>
      </c>
      <c r="AN650">
        <v>1</v>
      </c>
      <c r="AO650" t="str">
        <f>VLOOKUP(AN650, Lookups!$B$41:$C$49, 2, FALSE)</f>
        <v>Dry</v>
      </c>
      <c r="AP650">
        <v>-1</v>
      </c>
      <c r="AQ650">
        <v>-1</v>
      </c>
      <c r="AR650">
        <v>0</v>
      </c>
      <c r="AS650">
        <v>1</v>
      </c>
      <c r="AT650">
        <v>1</v>
      </c>
      <c r="AU650">
        <v>2</v>
      </c>
      <c r="AV650" t="s">
        <v>241</v>
      </c>
      <c r="AW650">
        <v>3</v>
      </c>
      <c r="AX650">
        <v>1</v>
      </c>
      <c r="AY650">
        <v>0</v>
      </c>
      <c r="AZ650">
        <v>1</v>
      </c>
    </row>
    <row r="651" spans="1:52" x14ac:dyDescent="0.35">
      <c r="A651">
        <v>2025221610464</v>
      </c>
      <c r="B651">
        <v>2025</v>
      </c>
      <c r="C651">
        <v>221610464</v>
      </c>
      <c r="D651">
        <v>378239</v>
      </c>
      <c r="E651">
        <v>247944</v>
      </c>
      <c r="F651">
        <v>-2.3193100000000002</v>
      </c>
      <c r="G651">
        <v>52.129370000000002</v>
      </c>
      <c r="H651">
        <v>22</v>
      </c>
      <c r="I651">
        <v>3</v>
      </c>
      <c r="J651" t="str">
        <f>VLOOKUP(I651, Lookups!$B$1:$C$4, 2, FALSE)</f>
        <v>Slight</v>
      </c>
      <c r="K651">
        <v>1</v>
      </c>
      <c r="L651">
        <v>1</v>
      </c>
      <c r="M651" s="1">
        <v>45840</v>
      </c>
      <c r="N651">
        <v>4</v>
      </c>
      <c r="O651" t="str">
        <f>VLOOKUP(N651, Lookups!$B$6:$C$12, 2, FALSE)</f>
        <v>Wednesday</v>
      </c>
      <c r="P651" s="2">
        <v>0.36458333333333331</v>
      </c>
      <c r="Q651">
        <v>-1</v>
      </c>
      <c r="R651" t="s">
        <v>49</v>
      </c>
      <c r="S651" t="s">
        <v>45</v>
      </c>
      <c r="T651" t="s">
        <v>45</v>
      </c>
      <c r="U651">
        <v>6</v>
      </c>
      <c r="V651" t="str">
        <f>VLOOKUP(U651, Lookups!$B$51:$C$57, 2, FALSE)</f>
        <v>Unclassified</v>
      </c>
      <c r="W651">
        <v>0</v>
      </c>
      <c r="X651" t="s">
        <v>362</v>
      </c>
      <c r="Y651">
        <v>6</v>
      </c>
      <c r="Z651" t="str">
        <f>VLOOKUP(Y651, Lookups!$B$14:$C$21, 2, FALSE)</f>
        <v>Single carriageway</v>
      </c>
      <c r="AA651">
        <v>30</v>
      </c>
      <c r="AB651">
        <v>-1</v>
      </c>
      <c r="AC651">
        <v>13</v>
      </c>
      <c r="AD651">
        <v>4</v>
      </c>
      <c r="AE651">
        <v>6</v>
      </c>
      <c r="AF651">
        <v>0</v>
      </c>
      <c r="AG651">
        <v>-1</v>
      </c>
      <c r="AH651">
        <v>-1</v>
      </c>
      <c r="AI651">
        <v>0</v>
      </c>
      <c r="AJ651">
        <v>1</v>
      </c>
      <c r="AK651" t="str">
        <f>VLOOKUP(AJ651, Lookups!$B$23:$C$28, 2, FALSE)</f>
        <v>Daylight</v>
      </c>
      <c r="AL651">
        <v>1</v>
      </c>
      <c r="AM651" t="str">
        <f>VLOOKUP(AL651, Lookups!$B$30:$C$39, 2, FALSE)</f>
        <v>Fine / Clear</v>
      </c>
      <c r="AN651">
        <v>1</v>
      </c>
      <c r="AO651" t="str">
        <f>VLOOKUP(AN651, Lookups!$B$41:$C$49, 2, FALSE)</f>
        <v>Dry</v>
      </c>
      <c r="AP651">
        <v>-1</v>
      </c>
      <c r="AQ651">
        <v>-1</v>
      </c>
      <c r="AR651">
        <v>0</v>
      </c>
      <c r="AS651">
        <v>1</v>
      </c>
      <c r="AT651">
        <v>1</v>
      </c>
      <c r="AU651">
        <v>2</v>
      </c>
      <c r="AV651" t="s">
        <v>216</v>
      </c>
      <c r="AW651">
        <v>3</v>
      </c>
      <c r="AX651">
        <v>1</v>
      </c>
      <c r="AY651">
        <v>0</v>
      </c>
      <c r="AZ651">
        <v>1</v>
      </c>
    </row>
    <row r="652" spans="1:52" x14ac:dyDescent="0.35">
      <c r="A652">
        <v>2025221648720</v>
      </c>
      <c r="B652">
        <v>2025</v>
      </c>
      <c r="C652">
        <v>221648720</v>
      </c>
      <c r="D652">
        <v>404983</v>
      </c>
      <c r="E652">
        <v>267812</v>
      </c>
      <c r="F652">
        <v>-1.9283399999999999</v>
      </c>
      <c r="G652">
        <v>52.308399999999999</v>
      </c>
      <c r="H652">
        <v>22</v>
      </c>
      <c r="I652">
        <v>3</v>
      </c>
      <c r="J652" t="str">
        <f>VLOOKUP(I652, Lookups!$B$1:$C$4, 2, FALSE)</f>
        <v>Slight</v>
      </c>
      <c r="K652">
        <v>1</v>
      </c>
      <c r="L652">
        <v>1</v>
      </c>
      <c r="M652" s="1">
        <v>45893</v>
      </c>
      <c r="N652">
        <v>1</v>
      </c>
      <c r="O652" t="str">
        <f>VLOOKUP(N652, Lookups!$B$6:$C$12, 2, FALSE)</f>
        <v>Sunday</v>
      </c>
      <c r="P652" s="2">
        <v>4.8611111111111112E-3</v>
      </c>
      <c r="Q652">
        <v>-1</v>
      </c>
      <c r="R652" t="s">
        <v>69</v>
      </c>
      <c r="S652" t="s">
        <v>45</v>
      </c>
      <c r="T652" t="s">
        <v>45</v>
      </c>
      <c r="U652">
        <v>3</v>
      </c>
      <c r="V652" t="str">
        <f>VLOOKUP(U652, Lookups!$B$51:$C$57, 2, FALSE)</f>
        <v>A</v>
      </c>
      <c r="W652">
        <v>441</v>
      </c>
      <c r="X652" t="str">
        <f t="shared" ref="X652:X653" si="89">V652&amp;W652</f>
        <v>A441</v>
      </c>
      <c r="Y652">
        <v>1</v>
      </c>
      <c r="Z652" t="str">
        <f>VLOOKUP(Y652, Lookups!$B$14:$C$21, 2, FALSE)</f>
        <v>Roundabout</v>
      </c>
      <c r="AA652">
        <v>40</v>
      </c>
      <c r="AB652">
        <v>-1</v>
      </c>
      <c r="AC652">
        <v>-1</v>
      </c>
      <c r="AD652">
        <v>4</v>
      </c>
      <c r="AE652">
        <v>3</v>
      </c>
      <c r="AF652">
        <v>4023</v>
      </c>
      <c r="AG652">
        <v>-1</v>
      </c>
      <c r="AH652">
        <v>-1</v>
      </c>
      <c r="AI652">
        <v>0</v>
      </c>
      <c r="AJ652">
        <v>4</v>
      </c>
      <c r="AK652" t="str">
        <f>VLOOKUP(AJ652, Lookups!$B$23:$C$28, 2, FALSE)</f>
        <v>Darkness (Lit)</v>
      </c>
      <c r="AL652">
        <v>1</v>
      </c>
      <c r="AM652" t="str">
        <f>VLOOKUP(AL652, Lookups!$B$30:$C$39, 2, FALSE)</f>
        <v>Fine / Clear</v>
      </c>
      <c r="AN652">
        <v>1</v>
      </c>
      <c r="AO652" t="str">
        <f>VLOOKUP(AN652, Lookups!$B$41:$C$49, 2, FALSE)</f>
        <v>Dry</v>
      </c>
      <c r="AP652">
        <v>-1</v>
      </c>
      <c r="AQ652">
        <v>-1</v>
      </c>
      <c r="AR652">
        <v>0</v>
      </c>
      <c r="AS652">
        <v>1</v>
      </c>
      <c r="AT652">
        <v>1</v>
      </c>
      <c r="AU652">
        <v>2</v>
      </c>
      <c r="AV652" t="s">
        <v>192</v>
      </c>
      <c r="AW652">
        <v>3</v>
      </c>
      <c r="AX652">
        <v>1</v>
      </c>
      <c r="AY652">
        <v>0</v>
      </c>
      <c r="AZ652">
        <v>1</v>
      </c>
    </row>
    <row r="653" spans="1:52" x14ac:dyDescent="0.35">
      <c r="A653">
        <v>2025221638252</v>
      </c>
      <c r="B653">
        <v>2025</v>
      </c>
      <c r="C653">
        <v>221638252</v>
      </c>
      <c r="D653">
        <v>396944</v>
      </c>
      <c r="E653">
        <v>273533</v>
      </c>
      <c r="F653">
        <v>-2.0463</v>
      </c>
      <c r="G653">
        <v>52.359850000000002</v>
      </c>
      <c r="H653">
        <v>22</v>
      </c>
      <c r="I653">
        <v>3</v>
      </c>
      <c r="J653" t="str">
        <f>VLOOKUP(I653, Lookups!$B$1:$C$4, 2, FALSE)</f>
        <v>Slight</v>
      </c>
      <c r="K653">
        <v>4</v>
      </c>
      <c r="L653">
        <v>1</v>
      </c>
      <c r="M653" s="1">
        <v>45904</v>
      </c>
      <c r="N653">
        <v>5</v>
      </c>
      <c r="O653" t="str">
        <f>VLOOKUP(N653, Lookups!$B$6:$C$12, 2, FALSE)</f>
        <v>Thursday</v>
      </c>
      <c r="P653" s="2">
        <v>0.71875</v>
      </c>
      <c r="Q653">
        <v>-1</v>
      </c>
      <c r="R653" t="s">
        <v>47</v>
      </c>
      <c r="S653" t="s">
        <v>45</v>
      </c>
      <c r="T653" t="s">
        <v>45</v>
      </c>
      <c r="U653">
        <v>3</v>
      </c>
      <c r="V653" t="str">
        <f>VLOOKUP(U653, Lookups!$B$51:$C$57, 2, FALSE)</f>
        <v>A</v>
      </c>
      <c r="W653">
        <v>38</v>
      </c>
      <c r="X653" t="str">
        <f t="shared" si="89"/>
        <v>A38</v>
      </c>
      <c r="Y653">
        <v>6</v>
      </c>
      <c r="Z653" t="str">
        <f>VLOOKUP(Y653, Lookups!$B$14:$C$21, 2, FALSE)</f>
        <v>Single carriageway</v>
      </c>
      <c r="AA653">
        <v>40</v>
      </c>
      <c r="AB653">
        <v>-1</v>
      </c>
      <c r="AC653">
        <v>0</v>
      </c>
      <c r="AD653">
        <v>-1</v>
      </c>
      <c r="AE653">
        <v>6</v>
      </c>
      <c r="AF653">
        <v>0</v>
      </c>
      <c r="AG653">
        <v>-1</v>
      </c>
      <c r="AH653">
        <v>-1</v>
      </c>
      <c r="AI653">
        <v>0</v>
      </c>
      <c r="AJ653">
        <v>1</v>
      </c>
      <c r="AK653" t="str">
        <f>VLOOKUP(AJ653, Lookups!$B$23:$C$28, 2, FALSE)</f>
        <v>Daylight</v>
      </c>
      <c r="AL653">
        <v>1</v>
      </c>
      <c r="AM653" t="str">
        <f>VLOOKUP(AL653, Lookups!$B$30:$C$39, 2, FALSE)</f>
        <v>Fine / Clear</v>
      </c>
      <c r="AN653">
        <v>1</v>
      </c>
      <c r="AO653" t="str">
        <f>VLOOKUP(AN653, Lookups!$B$41:$C$49, 2, FALSE)</f>
        <v>Dry</v>
      </c>
      <c r="AP653">
        <v>-1</v>
      </c>
      <c r="AQ653">
        <v>-1</v>
      </c>
      <c r="AR653">
        <v>0</v>
      </c>
      <c r="AS653">
        <v>2</v>
      </c>
      <c r="AT653">
        <v>3</v>
      </c>
      <c r="AU653">
        <v>2</v>
      </c>
      <c r="AV653" t="s">
        <v>232</v>
      </c>
      <c r="AW653">
        <v>3</v>
      </c>
      <c r="AX653">
        <v>1</v>
      </c>
      <c r="AY653">
        <v>0</v>
      </c>
      <c r="AZ653">
        <v>1</v>
      </c>
    </row>
    <row r="654" spans="1:52" x14ac:dyDescent="0.35">
      <c r="A654">
        <v>2025221601140</v>
      </c>
      <c r="B654">
        <v>2025</v>
      </c>
      <c r="C654">
        <v>221601140</v>
      </c>
      <c r="D654">
        <v>388771</v>
      </c>
      <c r="E654">
        <v>262019</v>
      </c>
      <c r="F654">
        <v>-2.1659199999999998</v>
      </c>
      <c r="G654">
        <v>52.256219999999999</v>
      </c>
      <c r="H654">
        <v>22</v>
      </c>
      <c r="I654">
        <v>2</v>
      </c>
      <c r="J654" t="str">
        <f>VLOOKUP(I654, Lookups!$B$1:$C$4, 2, FALSE)</f>
        <v>Serious</v>
      </c>
      <c r="K654">
        <v>1</v>
      </c>
      <c r="L654">
        <v>1</v>
      </c>
      <c r="M654" s="1">
        <v>45818</v>
      </c>
      <c r="N654">
        <v>3</v>
      </c>
      <c r="O654" t="str">
        <f>VLOOKUP(N654, Lookups!$B$6:$C$12, 2, FALSE)</f>
        <v>Tuesday</v>
      </c>
      <c r="P654" s="2">
        <v>6.25E-2</v>
      </c>
      <c r="Q654">
        <v>-1</v>
      </c>
      <c r="R654" t="s">
        <v>54</v>
      </c>
      <c r="S654" t="s">
        <v>45</v>
      </c>
      <c r="T654" t="s">
        <v>45</v>
      </c>
      <c r="U654">
        <v>6</v>
      </c>
      <c r="V654" t="str">
        <f>VLOOKUP(U654, Lookups!$B$51:$C$57, 2, FALSE)</f>
        <v>Unclassified</v>
      </c>
      <c r="W654">
        <v>0</v>
      </c>
      <c r="X654" t="s">
        <v>362</v>
      </c>
      <c r="Y654">
        <v>6</v>
      </c>
      <c r="Z654" t="str">
        <f>VLOOKUP(Y654, Lookups!$B$14:$C$21, 2, FALSE)</f>
        <v>Single carriageway</v>
      </c>
      <c r="AA654">
        <v>30</v>
      </c>
      <c r="AB654">
        <v>-1</v>
      </c>
      <c r="AC654">
        <v>0</v>
      </c>
      <c r="AD654">
        <v>-1</v>
      </c>
      <c r="AE654">
        <v>6</v>
      </c>
      <c r="AF654">
        <v>0</v>
      </c>
      <c r="AG654">
        <v>-1</v>
      </c>
      <c r="AH654">
        <v>-1</v>
      </c>
      <c r="AI654">
        <v>0</v>
      </c>
      <c r="AJ654">
        <v>4</v>
      </c>
      <c r="AK654" t="str">
        <f>VLOOKUP(AJ654, Lookups!$B$23:$C$28, 2, FALSE)</f>
        <v>Darkness (Lit)</v>
      </c>
      <c r="AL654">
        <v>1</v>
      </c>
      <c r="AM654" t="str">
        <f>VLOOKUP(AL654, Lookups!$B$30:$C$39, 2, FALSE)</f>
        <v>Fine / Clear</v>
      </c>
      <c r="AN654">
        <v>1</v>
      </c>
      <c r="AO654" t="str">
        <f>VLOOKUP(AN654, Lookups!$B$41:$C$49, 2, FALSE)</f>
        <v>Dry</v>
      </c>
      <c r="AP654">
        <v>-1</v>
      </c>
      <c r="AQ654">
        <v>-1</v>
      </c>
      <c r="AR654">
        <v>0</v>
      </c>
      <c r="AS654">
        <v>1</v>
      </c>
      <c r="AT654">
        <v>2</v>
      </c>
      <c r="AU654">
        <v>2</v>
      </c>
      <c r="AV654" t="s">
        <v>306</v>
      </c>
      <c r="AW654">
        <v>7</v>
      </c>
      <c r="AX654">
        <v>1</v>
      </c>
      <c r="AY654">
        <v>1</v>
      </c>
      <c r="AZ654">
        <v>0</v>
      </c>
    </row>
    <row r="655" spans="1:52" x14ac:dyDescent="0.35">
      <c r="A655">
        <v>2025221618305</v>
      </c>
      <c r="B655">
        <v>2025</v>
      </c>
      <c r="C655">
        <v>221618305</v>
      </c>
      <c r="D655">
        <v>405191</v>
      </c>
      <c r="E655">
        <v>243963</v>
      </c>
      <c r="F655">
        <v>-1.92564</v>
      </c>
      <c r="G655">
        <v>52.093989999999998</v>
      </c>
      <c r="H655">
        <v>22</v>
      </c>
      <c r="I655">
        <v>2</v>
      </c>
      <c r="J655" t="str">
        <f>VLOOKUP(I655, Lookups!$B$1:$C$4, 2, FALSE)</f>
        <v>Serious</v>
      </c>
      <c r="K655">
        <v>1</v>
      </c>
      <c r="L655">
        <v>1</v>
      </c>
      <c r="M655" s="1">
        <v>45857</v>
      </c>
      <c r="N655">
        <v>7</v>
      </c>
      <c r="O655" t="str">
        <f>VLOOKUP(N655, Lookups!$B$6:$C$12, 2, FALSE)</f>
        <v>Saturday</v>
      </c>
      <c r="P655" s="2">
        <v>0.46180555555555558</v>
      </c>
      <c r="Q655">
        <v>-1</v>
      </c>
      <c r="R655" t="s">
        <v>54</v>
      </c>
      <c r="S655" t="s">
        <v>45</v>
      </c>
      <c r="T655" t="s">
        <v>45</v>
      </c>
      <c r="U655">
        <v>4</v>
      </c>
      <c r="V655" t="str">
        <f>VLOOKUP(U655, Lookups!$B$51:$C$57, 2, FALSE)</f>
        <v>B</v>
      </c>
      <c r="W655">
        <v>4510</v>
      </c>
      <c r="X655" t="str">
        <f>V655&amp;W655</f>
        <v>B4510</v>
      </c>
      <c r="Y655">
        <v>6</v>
      </c>
      <c r="Z655" t="str">
        <f>VLOOKUP(Y655, Lookups!$B$14:$C$21, 2, FALSE)</f>
        <v>Single carriageway</v>
      </c>
      <c r="AA655">
        <v>30</v>
      </c>
      <c r="AB655">
        <v>-1</v>
      </c>
      <c r="AC655">
        <v>0</v>
      </c>
      <c r="AD655">
        <v>-1</v>
      </c>
      <c r="AE655">
        <v>6</v>
      </c>
      <c r="AF655">
        <v>0</v>
      </c>
      <c r="AG655">
        <v>-1</v>
      </c>
      <c r="AH655">
        <v>-1</v>
      </c>
      <c r="AI655">
        <v>0</v>
      </c>
      <c r="AJ655">
        <v>1</v>
      </c>
      <c r="AK655" t="str">
        <f>VLOOKUP(AJ655, Lookups!$B$23:$C$28, 2, FALSE)</f>
        <v>Daylight</v>
      </c>
      <c r="AL655">
        <v>2</v>
      </c>
      <c r="AM655" t="str">
        <f>VLOOKUP(AL655, Lookups!$B$30:$C$39, 2, FALSE)</f>
        <v>Rain</v>
      </c>
      <c r="AN655">
        <v>2</v>
      </c>
      <c r="AO655" t="str">
        <f>VLOOKUP(AN655, Lookups!$B$41:$C$49, 2, FALSE)</f>
        <v>Wet / damp</v>
      </c>
      <c r="AP655">
        <v>-1</v>
      </c>
      <c r="AQ655">
        <v>-1</v>
      </c>
      <c r="AR655">
        <v>0</v>
      </c>
      <c r="AS655">
        <v>2</v>
      </c>
      <c r="AT655">
        <v>1</v>
      </c>
      <c r="AU655">
        <v>2</v>
      </c>
      <c r="AV655" t="s">
        <v>307</v>
      </c>
      <c r="AW655">
        <v>5</v>
      </c>
      <c r="AX655">
        <v>1</v>
      </c>
      <c r="AY655">
        <v>1</v>
      </c>
      <c r="AZ655">
        <v>0</v>
      </c>
    </row>
    <row r="656" spans="1:52" x14ac:dyDescent="0.35">
      <c r="A656">
        <v>2025221571662</v>
      </c>
      <c r="B656">
        <v>2025</v>
      </c>
      <c r="C656">
        <v>221571662</v>
      </c>
      <c r="D656">
        <v>389730</v>
      </c>
      <c r="E656">
        <v>262727</v>
      </c>
      <c r="F656">
        <v>-2.1518999999999999</v>
      </c>
      <c r="G656">
        <v>52.262610000000002</v>
      </c>
      <c r="H656">
        <v>22</v>
      </c>
      <c r="I656">
        <v>3</v>
      </c>
      <c r="J656" t="str">
        <f>VLOOKUP(I656, Lookups!$B$1:$C$4, 2, FALSE)</f>
        <v>Slight</v>
      </c>
      <c r="K656">
        <v>1</v>
      </c>
      <c r="L656">
        <v>1</v>
      </c>
      <c r="M656" s="1">
        <v>45747</v>
      </c>
      <c r="N656">
        <v>2</v>
      </c>
      <c r="O656" t="str">
        <f>VLOOKUP(N656, Lookups!$B$6:$C$12, 2, FALSE)</f>
        <v>Monday</v>
      </c>
      <c r="P656" s="2">
        <v>0.4909722222222222</v>
      </c>
      <c r="Q656">
        <v>-1</v>
      </c>
      <c r="R656" t="s">
        <v>54</v>
      </c>
      <c r="S656" t="s">
        <v>45</v>
      </c>
      <c r="T656" t="s">
        <v>45</v>
      </c>
      <c r="U656">
        <v>6</v>
      </c>
      <c r="V656" t="str">
        <f>VLOOKUP(U656, Lookups!$B$51:$C$57, 2, FALSE)</f>
        <v>Unclassified</v>
      </c>
      <c r="W656">
        <v>0</v>
      </c>
      <c r="X656" t="s">
        <v>362</v>
      </c>
      <c r="Y656">
        <v>6</v>
      </c>
      <c r="Z656" t="str">
        <f>VLOOKUP(Y656, Lookups!$B$14:$C$21, 2, FALSE)</f>
        <v>Single carriageway</v>
      </c>
      <c r="AA656">
        <v>30</v>
      </c>
      <c r="AB656">
        <v>-1</v>
      </c>
      <c r="AC656">
        <v>13</v>
      </c>
      <c r="AD656">
        <v>4</v>
      </c>
      <c r="AE656">
        <v>4</v>
      </c>
      <c r="AF656">
        <v>4090</v>
      </c>
      <c r="AG656">
        <v>-1</v>
      </c>
      <c r="AH656">
        <v>-1</v>
      </c>
      <c r="AI656">
        <v>14</v>
      </c>
      <c r="AJ656">
        <v>1</v>
      </c>
      <c r="AK656" t="str">
        <f>VLOOKUP(AJ656, Lookups!$B$23:$C$28, 2, FALSE)</f>
        <v>Daylight</v>
      </c>
      <c r="AL656">
        <v>1</v>
      </c>
      <c r="AM656" t="str">
        <f>VLOOKUP(AL656, Lookups!$B$30:$C$39, 2, FALSE)</f>
        <v>Fine / Clear</v>
      </c>
      <c r="AN656">
        <v>1</v>
      </c>
      <c r="AO656" t="str">
        <f>VLOOKUP(AN656, Lookups!$B$41:$C$49, 2, FALSE)</f>
        <v>Dry</v>
      </c>
      <c r="AP656">
        <v>-1</v>
      </c>
      <c r="AQ656">
        <v>-1</v>
      </c>
      <c r="AR656">
        <v>0</v>
      </c>
      <c r="AS656">
        <v>1</v>
      </c>
      <c r="AT656">
        <v>1</v>
      </c>
      <c r="AU656">
        <v>2</v>
      </c>
      <c r="AV656" t="s">
        <v>308</v>
      </c>
      <c r="AW656">
        <v>3</v>
      </c>
      <c r="AX656">
        <v>1</v>
      </c>
      <c r="AY656">
        <v>0</v>
      </c>
      <c r="AZ656">
        <v>1</v>
      </c>
    </row>
    <row r="657" spans="1:52" x14ac:dyDescent="0.35">
      <c r="A657">
        <v>2025221676353</v>
      </c>
      <c r="B657">
        <v>2025</v>
      </c>
      <c r="C657">
        <v>221676353</v>
      </c>
      <c r="D657">
        <v>400643</v>
      </c>
      <c r="E657">
        <v>272879</v>
      </c>
      <c r="F657">
        <v>-1.9919800000000001</v>
      </c>
      <c r="G657">
        <v>52.35398</v>
      </c>
      <c r="H657">
        <v>22</v>
      </c>
      <c r="I657">
        <v>3</v>
      </c>
      <c r="J657" t="str">
        <f>VLOOKUP(I657, Lookups!$B$1:$C$4, 2, FALSE)</f>
        <v>Slight</v>
      </c>
      <c r="K657">
        <v>6</v>
      </c>
      <c r="L657">
        <v>1</v>
      </c>
      <c r="M657" s="1">
        <v>45992</v>
      </c>
      <c r="N657">
        <v>2</v>
      </c>
      <c r="O657" t="str">
        <f>VLOOKUP(N657, Lookups!$B$6:$C$12, 2, FALSE)</f>
        <v>Monday</v>
      </c>
      <c r="P657" s="2">
        <v>0.31527777777777777</v>
      </c>
      <c r="Q657">
        <v>-1</v>
      </c>
      <c r="R657" t="s">
        <v>47</v>
      </c>
      <c r="S657" t="s">
        <v>45</v>
      </c>
      <c r="T657" t="s">
        <v>45</v>
      </c>
      <c r="U657">
        <v>1</v>
      </c>
      <c r="V657" t="str">
        <f>VLOOKUP(U657, Lookups!$B$51:$C$57, 2, FALSE)</f>
        <v>M</v>
      </c>
      <c r="W657">
        <v>42</v>
      </c>
      <c r="X657" t="str">
        <f>V657&amp;W657</f>
        <v>M42</v>
      </c>
      <c r="Y657">
        <v>3</v>
      </c>
      <c r="Z657" t="str">
        <f>VLOOKUP(Y657, Lookups!$B$14:$C$21, 2, FALSE)</f>
        <v>Dual carriageway</v>
      </c>
      <c r="AA657">
        <v>70</v>
      </c>
      <c r="AB657">
        <v>-1</v>
      </c>
      <c r="AC657">
        <v>0</v>
      </c>
      <c r="AD657">
        <v>-1</v>
      </c>
      <c r="AE657">
        <v>0</v>
      </c>
      <c r="AF657">
        <v>-1</v>
      </c>
      <c r="AG657">
        <v>-1</v>
      </c>
      <c r="AH657">
        <v>-1</v>
      </c>
      <c r="AI657">
        <v>0</v>
      </c>
      <c r="AJ657">
        <v>7</v>
      </c>
      <c r="AK657" t="str">
        <f>VLOOKUP(AJ657, Lookups!$B$23:$C$28, 2, FALSE)</f>
        <v>Darkness (lighting unknown)</v>
      </c>
      <c r="AL657">
        <v>2</v>
      </c>
      <c r="AM657" t="str">
        <f>VLOOKUP(AL657, Lookups!$B$30:$C$39, 2, FALSE)</f>
        <v>Rain</v>
      </c>
      <c r="AN657">
        <v>2</v>
      </c>
      <c r="AO657" t="str">
        <f>VLOOKUP(AN657, Lookups!$B$41:$C$49, 2, FALSE)</f>
        <v>Wet / damp</v>
      </c>
      <c r="AP657">
        <v>-1</v>
      </c>
      <c r="AQ657">
        <v>-1</v>
      </c>
      <c r="AR657">
        <v>0</v>
      </c>
      <c r="AS657">
        <v>2</v>
      </c>
      <c r="AT657">
        <v>1</v>
      </c>
      <c r="AU657">
        <v>1</v>
      </c>
      <c r="AV657" t="s">
        <v>56</v>
      </c>
      <c r="AW657">
        <v>3</v>
      </c>
      <c r="AX657">
        <v>1</v>
      </c>
      <c r="AY657">
        <v>0</v>
      </c>
      <c r="AZ657">
        <v>1</v>
      </c>
    </row>
  </sheetData>
  <autoFilter ref="V1:V657" xr:uid="{2660B96D-309B-4F9B-8EEB-E1CCCF798F4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915E-8046-4DAC-82B0-EA0B174C44B3}">
  <dimension ref="A1:C61"/>
  <sheetViews>
    <sheetView topLeftCell="A23" workbookViewId="0">
      <selection activeCell="C61" sqref="C61"/>
    </sheetView>
  </sheetViews>
  <sheetFormatPr defaultRowHeight="14.5" x14ac:dyDescent="0.35"/>
  <cols>
    <col min="1" max="1" width="23.1796875" bestFit="1" customWidth="1"/>
    <col min="3" max="3" width="26.54296875" bestFit="1" customWidth="1"/>
  </cols>
  <sheetData>
    <row r="1" spans="1:3" x14ac:dyDescent="0.35">
      <c r="A1" t="s">
        <v>320</v>
      </c>
      <c r="B1" t="s">
        <v>309</v>
      </c>
      <c r="C1" t="s">
        <v>330</v>
      </c>
    </row>
    <row r="2" spans="1:3" x14ac:dyDescent="0.35">
      <c r="A2" s="3" t="s">
        <v>8</v>
      </c>
      <c r="B2">
        <v>1</v>
      </c>
      <c r="C2" t="s">
        <v>310</v>
      </c>
    </row>
    <row r="3" spans="1:3" x14ac:dyDescent="0.35">
      <c r="A3" s="3" t="s">
        <v>8</v>
      </c>
      <c r="B3">
        <v>2</v>
      </c>
      <c r="C3" t="s">
        <v>311</v>
      </c>
    </row>
    <row r="4" spans="1:3" x14ac:dyDescent="0.35">
      <c r="A4" s="3" t="s">
        <v>8</v>
      </c>
      <c r="B4">
        <v>3</v>
      </c>
      <c r="C4" t="s">
        <v>312</v>
      </c>
    </row>
    <row r="6" spans="1:3" x14ac:dyDescent="0.35">
      <c r="A6" s="3" t="s">
        <v>12</v>
      </c>
      <c r="B6">
        <v>1</v>
      </c>
      <c r="C6" t="s">
        <v>313</v>
      </c>
    </row>
    <row r="7" spans="1:3" x14ac:dyDescent="0.35">
      <c r="A7" s="3" t="s">
        <v>12</v>
      </c>
      <c r="B7">
        <v>2</v>
      </c>
      <c r="C7" t="s">
        <v>314</v>
      </c>
    </row>
    <row r="8" spans="1:3" x14ac:dyDescent="0.35">
      <c r="A8" s="3" t="s">
        <v>12</v>
      </c>
      <c r="B8">
        <v>3</v>
      </c>
      <c r="C8" t="s">
        <v>315</v>
      </c>
    </row>
    <row r="9" spans="1:3" x14ac:dyDescent="0.35">
      <c r="A9" s="3" t="s">
        <v>12</v>
      </c>
      <c r="B9">
        <v>4</v>
      </c>
      <c r="C9" t="s">
        <v>316</v>
      </c>
    </row>
    <row r="10" spans="1:3" x14ac:dyDescent="0.35">
      <c r="A10" s="3" t="s">
        <v>12</v>
      </c>
      <c r="B10">
        <v>5</v>
      </c>
      <c r="C10" t="s">
        <v>317</v>
      </c>
    </row>
    <row r="11" spans="1:3" x14ac:dyDescent="0.35">
      <c r="A11" s="3" t="s">
        <v>12</v>
      </c>
      <c r="B11">
        <v>6</v>
      </c>
      <c r="C11" t="s">
        <v>318</v>
      </c>
    </row>
    <row r="12" spans="1:3" x14ac:dyDescent="0.35">
      <c r="A12" s="3" t="s">
        <v>12</v>
      </c>
      <c r="B12">
        <v>7</v>
      </c>
      <c r="C12" t="s">
        <v>319</v>
      </c>
    </row>
    <row r="14" spans="1:3" x14ac:dyDescent="0.35">
      <c r="A14" s="3" t="s">
        <v>20</v>
      </c>
      <c r="B14" s="3">
        <v>1</v>
      </c>
      <c r="C14" s="3" t="s">
        <v>321</v>
      </c>
    </row>
    <row r="15" spans="1:3" x14ac:dyDescent="0.35">
      <c r="A15" s="3" t="s">
        <v>20</v>
      </c>
      <c r="B15" s="3">
        <v>2</v>
      </c>
      <c r="C15" s="3" t="s">
        <v>322</v>
      </c>
    </row>
    <row r="16" spans="1:3" x14ac:dyDescent="0.35">
      <c r="A16" s="3" t="s">
        <v>20</v>
      </c>
      <c r="B16" s="3">
        <v>3</v>
      </c>
      <c r="C16" s="3" t="s">
        <v>323</v>
      </c>
    </row>
    <row r="17" spans="1:3" x14ac:dyDescent="0.35">
      <c r="A17" s="3" t="s">
        <v>20</v>
      </c>
      <c r="B17" s="3">
        <v>6</v>
      </c>
      <c r="C17" s="3" t="s">
        <v>324</v>
      </c>
    </row>
    <row r="18" spans="1:3" x14ac:dyDescent="0.35">
      <c r="A18" s="3" t="s">
        <v>20</v>
      </c>
      <c r="B18" s="3">
        <v>7</v>
      </c>
      <c r="C18" s="3" t="s">
        <v>325</v>
      </c>
    </row>
    <row r="19" spans="1:3" x14ac:dyDescent="0.35">
      <c r="A19" s="3" t="s">
        <v>20</v>
      </c>
      <c r="B19" s="3">
        <v>9</v>
      </c>
      <c r="C19" s="3" t="s">
        <v>326</v>
      </c>
    </row>
    <row r="20" spans="1:3" x14ac:dyDescent="0.35">
      <c r="A20" s="3" t="s">
        <v>20</v>
      </c>
      <c r="B20" s="3">
        <v>12</v>
      </c>
      <c r="C20" s="3" t="s">
        <v>327</v>
      </c>
    </row>
    <row r="21" spans="1:3" x14ac:dyDescent="0.35">
      <c r="A21" s="3" t="s">
        <v>20</v>
      </c>
      <c r="B21" s="3">
        <v>-1</v>
      </c>
      <c r="C21" s="3" t="s">
        <v>328</v>
      </c>
    </row>
    <row r="23" spans="1:3" x14ac:dyDescent="0.35">
      <c r="A23" s="3" t="s">
        <v>30</v>
      </c>
      <c r="B23" s="3">
        <v>1</v>
      </c>
      <c r="C23" s="3" t="s">
        <v>329</v>
      </c>
    </row>
    <row r="24" spans="1:3" x14ac:dyDescent="0.35">
      <c r="A24" s="3" t="s">
        <v>30</v>
      </c>
      <c r="B24" s="3">
        <v>4</v>
      </c>
      <c r="C24" s="3" t="s">
        <v>343</v>
      </c>
    </row>
    <row r="25" spans="1:3" x14ac:dyDescent="0.35">
      <c r="A25" s="3" t="s">
        <v>30</v>
      </c>
      <c r="B25" s="3">
        <v>5</v>
      </c>
      <c r="C25" s="3" t="s">
        <v>342</v>
      </c>
    </row>
    <row r="26" spans="1:3" x14ac:dyDescent="0.35">
      <c r="A26" s="3" t="s">
        <v>30</v>
      </c>
      <c r="B26" s="3">
        <v>6</v>
      </c>
      <c r="C26" s="3" t="s">
        <v>342</v>
      </c>
    </row>
    <row r="27" spans="1:3" x14ac:dyDescent="0.35">
      <c r="A27" s="3" t="s">
        <v>30</v>
      </c>
      <c r="B27" s="3">
        <v>7</v>
      </c>
      <c r="C27" s="3" t="s">
        <v>345</v>
      </c>
    </row>
    <row r="28" spans="1:3" x14ac:dyDescent="0.35">
      <c r="A28" s="3" t="s">
        <v>30</v>
      </c>
      <c r="B28" s="3">
        <v>-1</v>
      </c>
      <c r="C28" s="3" t="s">
        <v>344</v>
      </c>
    </row>
    <row r="30" spans="1:3" x14ac:dyDescent="0.35">
      <c r="A30" s="3" t="s">
        <v>31</v>
      </c>
      <c r="B30" s="3">
        <v>1</v>
      </c>
      <c r="C30" s="3" t="s">
        <v>334</v>
      </c>
    </row>
    <row r="31" spans="1:3" x14ac:dyDescent="0.35">
      <c r="A31" s="3" t="s">
        <v>31</v>
      </c>
      <c r="B31" s="3">
        <v>2</v>
      </c>
      <c r="C31" s="3" t="s">
        <v>335</v>
      </c>
    </row>
    <row r="32" spans="1:3" x14ac:dyDescent="0.35">
      <c r="A32" s="3" t="s">
        <v>31</v>
      </c>
      <c r="B32" s="3">
        <v>3</v>
      </c>
      <c r="C32" s="3" t="s">
        <v>336</v>
      </c>
    </row>
    <row r="33" spans="1:3" x14ac:dyDescent="0.35">
      <c r="A33" s="3" t="s">
        <v>31</v>
      </c>
      <c r="B33" s="3">
        <v>4</v>
      </c>
      <c r="C33" s="3" t="s">
        <v>337</v>
      </c>
    </row>
    <row r="34" spans="1:3" x14ac:dyDescent="0.35">
      <c r="A34" s="3" t="s">
        <v>31</v>
      </c>
      <c r="B34" s="3">
        <v>5</v>
      </c>
      <c r="C34" s="3" t="s">
        <v>338</v>
      </c>
    </row>
    <row r="35" spans="1:3" x14ac:dyDescent="0.35">
      <c r="A35" s="3" t="s">
        <v>31</v>
      </c>
      <c r="B35" s="3">
        <v>6</v>
      </c>
      <c r="C35" s="3" t="s">
        <v>339</v>
      </c>
    </row>
    <row r="36" spans="1:3" x14ac:dyDescent="0.35">
      <c r="A36" s="3" t="s">
        <v>31</v>
      </c>
      <c r="B36" s="3">
        <v>7</v>
      </c>
      <c r="C36" s="3" t="s">
        <v>340</v>
      </c>
    </row>
    <row r="37" spans="1:3" x14ac:dyDescent="0.35">
      <c r="A37" s="3" t="s">
        <v>31</v>
      </c>
      <c r="B37" s="3">
        <v>8</v>
      </c>
      <c r="C37" s="3" t="s">
        <v>331</v>
      </c>
    </row>
    <row r="38" spans="1:3" x14ac:dyDescent="0.35">
      <c r="A38" s="3" t="s">
        <v>31</v>
      </c>
      <c r="B38" s="3">
        <v>9</v>
      </c>
      <c r="C38" s="3" t="s">
        <v>326</v>
      </c>
    </row>
    <row r="39" spans="1:3" x14ac:dyDescent="0.35">
      <c r="A39" s="3" t="s">
        <v>31</v>
      </c>
      <c r="B39" s="3">
        <v>-1</v>
      </c>
      <c r="C39" s="3" t="s">
        <v>341</v>
      </c>
    </row>
    <row r="41" spans="1:3" x14ac:dyDescent="0.35">
      <c r="A41" s="3" t="s">
        <v>32</v>
      </c>
      <c r="B41" s="3">
        <v>1</v>
      </c>
      <c r="C41" s="3" t="s">
        <v>346</v>
      </c>
    </row>
    <row r="42" spans="1:3" x14ac:dyDescent="0.35">
      <c r="A42" s="3" t="s">
        <v>32</v>
      </c>
      <c r="B42" s="3">
        <v>2</v>
      </c>
      <c r="C42" s="3" t="s">
        <v>352</v>
      </c>
    </row>
    <row r="43" spans="1:3" x14ac:dyDescent="0.35">
      <c r="A43" s="3" t="s">
        <v>32</v>
      </c>
      <c r="B43" s="3">
        <v>3</v>
      </c>
      <c r="C43" s="3" t="s">
        <v>347</v>
      </c>
    </row>
    <row r="44" spans="1:3" x14ac:dyDescent="0.35">
      <c r="A44" s="3" t="s">
        <v>32</v>
      </c>
      <c r="B44" s="3">
        <v>4</v>
      </c>
      <c r="C44" s="3" t="s">
        <v>348</v>
      </c>
    </row>
    <row r="45" spans="1:3" x14ac:dyDescent="0.35">
      <c r="A45" s="3" t="s">
        <v>32</v>
      </c>
      <c r="B45" s="3">
        <v>5</v>
      </c>
      <c r="C45" s="3" t="s">
        <v>353</v>
      </c>
    </row>
    <row r="46" spans="1:3" x14ac:dyDescent="0.35">
      <c r="A46" s="3" t="s">
        <v>32</v>
      </c>
      <c r="B46" s="3">
        <v>6</v>
      </c>
      <c r="C46" s="3" t="s">
        <v>349</v>
      </c>
    </row>
    <row r="47" spans="1:3" x14ac:dyDescent="0.35">
      <c r="A47" s="3" t="s">
        <v>32</v>
      </c>
      <c r="B47" s="3">
        <v>7</v>
      </c>
      <c r="C47" s="3" t="s">
        <v>350</v>
      </c>
    </row>
    <row r="48" spans="1:3" x14ac:dyDescent="0.35">
      <c r="A48" s="3" t="s">
        <v>32</v>
      </c>
      <c r="B48" s="3">
        <v>-1</v>
      </c>
      <c r="C48" s="3" t="s">
        <v>344</v>
      </c>
    </row>
    <row r="49" spans="1:3" x14ac:dyDescent="0.35">
      <c r="A49" s="3" t="s">
        <v>32</v>
      </c>
      <c r="B49" s="3">
        <v>9</v>
      </c>
      <c r="C49" s="3" t="s">
        <v>351</v>
      </c>
    </row>
    <row r="51" spans="1:3" x14ac:dyDescent="0.35">
      <c r="A51" s="3" t="s">
        <v>18</v>
      </c>
      <c r="B51" s="3">
        <v>1</v>
      </c>
      <c r="C51" s="3" t="s">
        <v>367</v>
      </c>
    </row>
    <row r="52" spans="1:3" x14ac:dyDescent="0.35">
      <c r="A52" s="3" t="s">
        <v>18</v>
      </c>
      <c r="B52" s="3">
        <v>2</v>
      </c>
      <c r="C52" s="3" t="s">
        <v>367</v>
      </c>
    </row>
    <row r="53" spans="1:3" x14ac:dyDescent="0.35">
      <c r="A53" s="3" t="s">
        <v>18</v>
      </c>
      <c r="B53" s="3">
        <v>3</v>
      </c>
      <c r="C53" s="3" t="s">
        <v>359</v>
      </c>
    </row>
    <row r="54" spans="1:3" x14ac:dyDescent="0.35">
      <c r="A54" s="3" t="s">
        <v>18</v>
      </c>
      <c r="B54" s="3">
        <v>4</v>
      </c>
      <c r="C54" s="3" t="s">
        <v>360</v>
      </c>
    </row>
    <row r="55" spans="1:3" x14ac:dyDescent="0.35">
      <c r="A55" s="3" t="s">
        <v>18</v>
      </c>
      <c r="B55" s="3">
        <v>5</v>
      </c>
      <c r="C55" s="3" t="s">
        <v>361</v>
      </c>
    </row>
    <row r="56" spans="1:3" x14ac:dyDescent="0.35">
      <c r="A56" s="3" t="s">
        <v>18</v>
      </c>
      <c r="B56" s="3">
        <v>6</v>
      </c>
      <c r="C56" s="3" t="s">
        <v>362</v>
      </c>
    </row>
    <row r="57" spans="1:3" x14ac:dyDescent="0.35">
      <c r="A57" s="3" t="s">
        <v>18</v>
      </c>
      <c r="B57" s="3">
        <v>-1</v>
      </c>
      <c r="C57" s="3" t="s">
        <v>344</v>
      </c>
    </row>
    <row r="59" spans="1:3" x14ac:dyDescent="0.35">
      <c r="A59" s="3" t="s">
        <v>19</v>
      </c>
      <c r="B59" s="4" t="s">
        <v>363</v>
      </c>
      <c r="C59" s="3" t="s">
        <v>364</v>
      </c>
    </row>
    <row r="60" spans="1:3" x14ac:dyDescent="0.35">
      <c r="A60" s="3" t="s">
        <v>19</v>
      </c>
      <c r="B60" s="4" t="s">
        <v>365</v>
      </c>
      <c r="C60" s="3" t="s">
        <v>326</v>
      </c>
    </row>
    <row r="61" spans="1:3" x14ac:dyDescent="0.35">
      <c r="A61" s="3" t="s">
        <v>19</v>
      </c>
      <c r="B61" s="4">
        <v>0</v>
      </c>
      <c r="C61" s="3" t="s">
        <v>366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Worcestershire 2025 Raw Data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Brack</dc:creator>
  <cp:lastModifiedBy>Phil Brack</cp:lastModifiedBy>
  <dcterms:created xsi:type="dcterms:W3CDTF">2026-09-13T12:14:06Z</dcterms:created>
  <dcterms:modified xsi:type="dcterms:W3CDTF">2026-09-13T14:28:08Z</dcterms:modified>
</cp:coreProperties>
</file>